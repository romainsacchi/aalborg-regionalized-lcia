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omain/GitHub/aalborg-regionalized-lcia/tutorials/DAY 2/assets/"/>
    </mc:Choice>
  </mc:AlternateContent>
  <xr:revisionPtr revIDLastSave="0" documentId="13_ncr:1_{BE045550-8D31-6C44-834D-545F9ADA1E82}" xr6:coauthVersionLast="47" xr6:coauthVersionMax="47" xr10:uidLastSave="{00000000-0000-0000-0000-000000000000}"/>
  <bookViews>
    <workbookView xWindow="4420" yWindow="660" windowWidth="23540" windowHeight="18360" activeTab="1" xr2:uid="{00000000-000D-0000-FFFF-FFFF00000000}"/>
  </bookViews>
  <sheets>
    <sheet name="readme" sheetId="1" r:id="rId1"/>
    <sheet name="lci" sheetId="2" r:id="rId2"/>
    <sheet name="Final specifications" sheetId="3" r:id="rId3"/>
    <sheet name="Manufacturers' data" sheetId="4" r:id="rId4"/>
  </sheets>
  <definedNames>
    <definedName name="lifeprod_aec">'Final specifications'!$B$17</definedName>
    <definedName name="lifeprod_pem">'Final specifications'!$C$17</definedName>
    <definedName name="lifeprod_soec">'Final specifications'!$D$17</definedName>
    <definedName name="lifetime_aec">'Final specifications'!$B$7</definedName>
    <definedName name="lifetime_pem">'Final specifications'!$C$7</definedName>
    <definedName name="lifetime_soec">'Final specifications'!$D$7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7" i="4" l="1"/>
  <c r="P96" i="4"/>
  <c r="P95" i="4"/>
  <c r="P94" i="4"/>
  <c r="P92" i="4"/>
  <c r="T91" i="4"/>
  <c r="Y90" i="4"/>
  <c r="T90" i="4"/>
  <c r="Q90" i="4"/>
  <c r="P89" i="4"/>
  <c r="P87" i="4"/>
  <c r="P86" i="4"/>
  <c r="P85" i="4"/>
  <c r="P84" i="4"/>
  <c r="P83" i="4"/>
  <c r="P82" i="4"/>
  <c r="T80" i="4"/>
  <c r="P80" i="4"/>
  <c r="P79" i="4"/>
  <c r="P77" i="4"/>
  <c r="P76" i="4"/>
  <c r="P75" i="4"/>
  <c r="P74" i="4"/>
  <c r="P73" i="4"/>
  <c r="P72" i="4"/>
  <c r="P71" i="4"/>
  <c r="P68" i="4"/>
  <c r="P66" i="4"/>
  <c r="AC65" i="4"/>
  <c r="T65" i="4"/>
  <c r="Q65" i="4"/>
  <c r="AC64" i="4"/>
  <c r="T64" i="4"/>
  <c r="P63" i="4"/>
  <c r="P62" i="4"/>
  <c r="P60" i="4"/>
  <c r="P59" i="4"/>
  <c r="P58" i="4"/>
  <c r="P57" i="4"/>
  <c r="P56" i="4"/>
  <c r="P55" i="4"/>
  <c r="P53" i="4"/>
  <c r="P52" i="4"/>
  <c r="P49" i="4"/>
  <c r="P48" i="4"/>
  <c r="P47" i="4"/>
  <c r="P46" i="4"/>
  <c r="P44" i="4"/>
  <c r="P41" i="4"/>
  <c r="P39" i="4"/>
  <c r="P38" i="4"/>
  <c r="P37" i="4"/>
  <c r="P36" i="4"/>
  <c r="P35" i="4"/>
  <c r="P34" i="4"/>
  <c r="P33" i="4"/>
  <c r="P32" i="4"/>
  <c r="P30" i="4"/>
  <c r="P29" i="4"/>
  <c r="P28" i="4"/>
  <c r="P27" i="4"/>
  <c r="P25" i="4"/>
  <c r="P24" i="4"/>
  <c r="P23" i="4"/>
  <c r="P22" i="4"/>
  <c r="P21" i="4"/>
  <c r="P19" i="4"/>
  <c r="P16" i="4"/>
  <c r="P15" i="4"/>
  <c r="P12" i="4"/>
  <c r="P11" i="4"/>
  <c r="P10" i="4"/>
  <c r="P6" i="4"/>
  <c r="P5" i="4"/>
  <c r="P4" i="4"/>
  <c r="B18" i="1"/>
  <c r="D17" i="1"/>
  <c r="C17" i="1"/>
  <c r="B17" i="1"/>
  <c r="D16" i="1"/>
  <c r="C16" i="1"/>
  <c r="B16" i="1"/>
  <c r="D15" i="1"/>
  <c r="C15" i="1"/>
  <c r="B15" i="1"/>
  <c r="D14" i="1"/>
  <c r="C14" i="1"/>
  <c r="B14" i="1"/>
  <c r="D13" i="1"/>
  <c r="C13" i="1"/>
  <c r="B13" i="1"/>
</calcChain>
</file>

<file path=xl/sharedStrings.xml><?xml version="1.0" encoding="utf-8"?>
<sst xmlns="http://schemas.openxmlformats.org/spreadsheetml/2006/main" count="3238" uniqueCount="469">
  <si>
    <t>cutoff</t>
  </si>
  <si>
    <t>Database</t>
  </si>
  <si>
    <t>h2_electrolysis</t>
  </si>
  <si>
    <t>Activity</t>
  </si>
  <si>
    <t>hydrogen production, gaseous, 30 bar, from PEM electrolysis, from grid electricity</t>
  </si>
  <si>
    <t>production amount</t>
  </si>
  <si>
    <t>comment</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</si>
  <si>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</si>
  <si>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reference product</t>
  </si>
  <si>
    <t>hydrogen, gaseous, 30 bar</t>
  </si>
  <si>
    <t>location</t>
  </si>
  <si>
    <t>RER</t>
  </si>
  <si>
    <t>unit</t>
  </si>
  <si>
    <t>kilogram</t>
  </si>
  <si>
    <t>Exchanges</t>
  </si>
  <si>
    <t>name</t>
  </si>
  <si>
    <t>amount</t>
  </si>
  <si>
    <t>categories</t>
  </si>
  <si>
    <t>type</t>
  </si>
  <si>
    <t>database</t>
  </si>
  <si>
    <t>production</t>
  </si>
  <si>
    <t>electrolyzer production, 1MWe, PEM, Stack</t>
  </si>
  <si>
    <t>electrolyzer, 1MWe, PEM, Stack</t>
  </si>
  <si>
    <t>technosphere</t>
  </si>
  <si>
    <t>Stack, 5.5 years lifetime.</t>
  </si>
  <si>
    <t>electrolyzer production, 1MWe, PEM, Balance of Plant</t>
  </si>
  <si>
    <t>electrolyzer, 1MWe, PEM, Balance of Plant</t>
  </si>
  <si>
    <t>BoP, 20 years lifetime.</t>
  </si>
  <si>
    <t>treatment of fuel cell stack, 1MWe, PEM</t>
  </si>
  <si>
    <t>used fuel cell stack, 1MWe, PEM</t>
  </si>
  <si>
    <t>Stack EoL</t>
  </si>
  <si>
    <t xml:space="preserve">These columns have been used for something. But I don't want BW to read them in - they are not in the correct format for BW, but I still want to keep that information. </t>
  </si>
  <si>
    <t>treatment of fuel cell balance of plant, 1MWe, PEM</t>
  </si>
  <si>
    <t>used fuel cell balance of plant, 1MWe, PEM</t>
  </si>
  <si>
    <t>BoP EoL</t>
  </si>
  <si>
    <t>In cell A1 and A2, I tell BW to ignore any column &gt; 9 from the left.</t>
  </si>
  <si>
    <t>Electricity, low voltage, at grid</t>
  </si>
  <si>
    <t>kilowatt hour</t>
  </si>
  <si>
    <t>bafu</t>
  </si>
  <si>
    <t>Electricity consumption with 61.7% eff.</t>
  </si>
  <si>
    <t xml:space="preserve">Note that this has nothing to do with the system model "cut off" from ecoinvent. </t>
  </si>
  <si>
    <t>CH</t>
  </si>
  <si>
    <t xml:space="preserve">A perfect reaction of H2O results in 1 kg H2 and 8 kg O2, and needs 9 kg H2O, however, considering some losses we assume 14 kg H2O (Simoes et al., 2021). </t>
  </si>
  <si>
    <t>Oxygen</t>
  </si>
  <si>
    <t>air</t>
  </si>
  <si>
    <t>biosphere</t>
  </si>
  <si>
    <t>biosphere3</t>
  </si>
  <si>
    <t>Occupation, industrial area</t>
  </si>
  <si>
    <t>square meter-year</t>
  </si>
  <si>
    <t>natural resource::land</t>
  </si>
  <si>
    <t>Electrolyser land footprint: (0.09 [m2/kW]*1000[kW/MW])/(2963200[kg H2 per lifetime]/20[years])</t>
  </si>
  <si>
    <t>Transformation, from industrial area</t>
  </si>
  <si>
    <t>square meter</t>
  </si>
  <si>
    <t>Electrolyser land transformation: (0.09 [m2/kW]*1000 [kW/MW])/2963200 [kg H2]</t>
  </si>
  <si>
    <t>Transformation, to industrial area</t>
  </si>
  <si>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</si>
  <si>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Aluminium, production mix, wrought alloy, at plant</t>
  </si>
  <si>
    <t>end plate</t>
  </si>
  <si>
    <t>Sheet rolling, aluminium</t>
  </si>
  <si>
    <t>Titanium dioxide, production mix, at plant</t>
  </si>
  <si>
    <t>bipolar plate</t>
  </si>
  <si>
    <t>Tetrafluoroethylene, at plant</t>
  </si>
  <si>
    <t>membrane polymer</t>
  </si>
  <si>
    <t>Carbon black, at plant</t>
  </si>
  <si>
    <t>GLO</t>
  </si>
  <si>
    <t>electrocatalyst anode</t>
  </si>
  <si>
    <t>iridium production</t>
  </si>
  <si>
    <t>iridium</t>
  </si>
  <si>
    <t>Platinum, at regional storage</t>
  </si>
  <si>
    <t>electrocatalyst cathode</t>
  </si>
  <si>
    <t>Copper, primary, at refinery</t>
  </si>
  <si>
    <t>current collector</t>
  </si>
  <si>
    <t>Sheet rolling, copper</t>
  </si>
  <si>
    <t>Sheet rolling, chromium steel</t>
  </si>
  <si>
    <t>bolts and screws</t>
  </si>
  <si>
    <t>Chromium steel 18/8, at plant</t>
  </si>
  <si>
    <t>Synthetic rubber, at plant</t>
  </si>
  <si>
    <t>gasket</t>
  </si>
  <si>
    <t>assembly energy</t>
  </si>
  <si>
    <t>Iridium</t>
  </si>
  <si>
    <t>natural resource::in ground</t>
  </si>
  <si>
    <t>Iron scrap, at plant</t>
  </si>
  <si>
    <t>Aluminium scrap, old, at plant</t>
  </si>
  <si>
    <t>Copper, at regional storage</t>
  </si>
  <si>
    <t>Disposal, plastics, mixture, 15.3% water, to municipal incineration</t>
  </si>
  <si>
    <t>Disposal, rubber, unspecified, 0% water, to municipal incineration</t>
  </si>
  <si>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</si>
  <si>
    <t>negative</t>
  </si>
  <si>
    <t>simapro category</t>
  </si>
  <si>
    <t>Material/Fuels/Synthetic/Infrastructure</t>
  </si>
  <si>
    <t>power electronics (rectifier, voltage adaption)</t>
  </si>
  <si>
    <t>Reinforcing steel, at plant</t>
  </si>
  <si>
    <t>Sheet rolling, steel</t>
  </si>
  <si>
    <t>Tube insulation, elastomere, at plant</t>
  </si>
  <si>
    <t>DE</t>
  </si>
  <si>
    <t>Wire drawing, copper</t>
  </si>
  <si>
    <t>Electronics for control units</t>
  </si>
  <si>
    <t>control panels/electronics</t>
  </si>
  <si>
    <t>Steel, low-alloyed, at plant</t>
  </si>
  <si>
    <t>tubing and pump</t>
  </si>
  <si>
    <t>steel construction element</t>
  </si>
  <si>
    <t>Purification (De-Oxo) &amp; water treatment</t>
  </si>
  <si>
    <t>water-gas separator</t>
  </si>
  <si>
    <t>Polypropylene, granulate, at plant</t>
  </si>
  <si>
    <t>valve</t>
  </si>
  <si>
    <t>Injection moulding</t>
  </si>
  <si>
    <t>Lubricating oil, at plant</t>
  </si>
  <si>
    <t>back-pressure regulator</t>
  </si>
  <si>
    <t>Zeolite, powder, at plant</t>
  </si>
  <si>
    <t>ion exchanger</t>
  </si>
  <si>
    <t>heat exchanger</t>
  </si>
  <si>
    <t>Extrusion, plastic pipes</t>
  </si>
  <si>
    <t>water purifier and feed tank</t>
  </si>
  <si>
    <t>Polyethylene, LDPE, granulate, at plant</t>
  </si>
  <si>
    <t>frequency converter, diaphragm compressor</t>
  </si>
  <si>
    <t>Cast iron, at plant</t>
  </si>
  <si>
    <t>diaphragm for diaphragm compressor</t>
  </si>
  <si>
    <t>Ethylene glycol, at plant</t>
  </si>
  <si>
    <t>container with pipes and fittings for compressor</t>
  </si>
  <si>
    <t>buffer tank</t>
  </si>
  <si>
    <t>Welding, arc, steel</t>
  </si>
  <si>
    <t>meter</t>
  </si>
  <si>
    <t>container</t>
  </si>
  <si>
    <t>Concrete, normal, at plant</t>
  </si>
  <si>
    <t>cubic meter</t>
  </si>
  <si>
    <t>foundation concrete</t>
  </si>
  <si>
    <t>Disposal, building, reinforcement steel, to sorting plant</t>
  </si>
  <si>
    <t>Disposal, plastic, industr. electronics, 15.3% water, to municipal incineration</t>
  </si>
  <si>
    <t>Disposal, treatment of printed wiring boards</t>
  </si>
  <si>
    <t>Disposal, treatment of cables</t>
  </si>
  <si>
    <t>Disposal, polyethylene/polypropylene products, to municipal waste incineration</t>
  </si>
  <si>
    <t>Disposal, building, bulk iron (excluding reinforcement), to sorting plant</t>
  </si>
  <si>
    <t>Disposal, building, concrete, not reinforced, to sorting plant</t>
  </si>
  <si>
    <t>Disposal, zeolite, 5% water, to construction waste landfill</t>
  </si>
  <si>
    <t>This is an aggregated inventory and cannot be considered transparent! 1 ton of iridium, mined. System area: Ore production to iridium in regional deposits. Geographical reference: Europe. Chronological reference: 2000-2004. Other information: Associated with platinum: approx. 0.3 to 0.4 g/10 g platinum ; share in total PGM prod.: approx. 37/542. The provision of investment goods is not considered in the data set. General information on mining and production: Type of mining: underground and open pit.
Crude ore production: South Africa 90%, Russia, Zimbabwe. Crude metal production: Germany 40% (Heraeus). Yearly production: 37 tons/year.
Source: ifeu - Institut für Energie- und Umweltforschung Heidelberg. Umweltprofile (UBA 2012). Accessible via: https://www.probas.umweltbundesamt.de/php/prozessdetails.php?id={BBAD218F-E439-42D6-9C26-14C774287F3C}</t>
  </si>
  <si>
    <t>Methane, non-fossil</t>
  </si>
  <si>
    <t>Methane, fossil</t>
  </si>
  <si>
    <t>Hydrocarbons, chlorinated</t>
  </si>
  <si>
    <t>Chromium III</t>
  </si>
  <si>
    <t>Carbon monoxide, fossil</t>
  </si>
  <si>
    <t>Carbon dioxide, fossil</t>
  </si>
  <si>
    <t>Carbon dioxide, non-fossil</t>
  </si>
  <si>
    <t>Dichloromethane</t>
  </si>
  <si>
    <t>Dioxins, measured as 2,3,7,8-tetrachlorodibenzo-p-dioxin</t>
  </si>
  <si>
    <t>Ethane</t>
  </si>
  <si>
    <t>Particulate Matter, &gt; 2.5 um and &lt; 10um</t>
  </si>
  <si>
    <t>Formaldehyde</t>
  </si>
  <si>
    <t>Hydrogen sulfide</t>
  </si>
  <si>
    <t>Hydrochloric acid</t>
  </si>
  <si>
    <t>Hexachlorobenzene</t>
  </si>
  <si>
    <t>Hydrogen fluoride</t>
  </si>
  <si>
    <t>1,1,1,2-Tetrafluoroethane</t>
  </si>
  <si>
    <t>Copper ion</t>
  </si>
  <si>
    <t>Dinitrogen monoxide</t>
  </si>
  <si>
    <t>Ammonia</t>
  </si>
  <si>
    <t>Nickel II</t>
  </si>
  <si>
    <t>NMVOC, non-methane volatile organic compounds</t>
  </si>
  <si>
    <t>Nitrogen oxides</t>
  </si>
  <si>
    <t>Polychlorinated biphenyls</t>
  </si>
  <si>
    <t>Pentachlorophenol</t>
  </si>
  <si>
    <t>Perfluoropentane</t>
  </si>
  <si>
    <t>PAH, polycyclic aromatic hydrocarbons</t>
  </si>
  <si>
    <t>Mercury II</t>
  </si>
  <si>
    <t>Sulfur hexafluoride</t>
  </si>
  <si>
    <t>Sulfur dioxide</t>
  </si>
  <si>
    <t>Zinc II</t>
  </si>
  <si>
    <t>hydrogen production, gaseous, 20 bar, from AEC electrolysis, from grid electricity</t>
  </si>
  <si>
    <t>1 kg H2 produced using a AEC electrolyzer. Original source: 1 MW AEC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</si>
  <si>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20 bar</t>
  </si>
  <si>
    <t>electrolyzer production, 1MWe, AEC, Stack</t>
  </si>
  <si>
    <t>electrolyzer, 1MWe, AEC, Stack</t>
  </si>
  <si>
    <t>Stack, 7 years lifetime.</t>
  </si>
  <si>
    <t>electrolyzer production, 1MWe, AEC, Balance of Plant</t>
  </si>
  <si>
    <t>electrolyzer, 1MWe, AEC, Balance of Plant</t>
  </si>
  <si>
    <t>BoP, 27.5 years lifetime.</t>
  </si>
  <si>
    <t>treatment of fuel cell stack, 1MWe, AEC</t>
  </si>
  <si>
    <t>used fuel cell stack, 1MWe, AEC</t>
  </si>
  <si>
    <t>treatment of fuel cell balance of plant, 1MWe, AEC</t>
  </si>
  <si>
    <t>used fuel cell balance of plant, 1MWe, AEC</t>
  </si>
  <si>
    <t>Electricity consumption with 64.5% eff.</t>
  </si>
  <si>
    <t>Potassium hydroxide, at regional storage</t>
  </si>
  <si>
    <t>KOH input</t>
  </si>
  <si>
    <t>Electrolyser land footprint: (0.12 [m2/kW]*1000[kW/MW])/(4259200[kg H2 per lifetime]/27.5[years])</t>
  </si>
  <si>
    <t>Electrolyser land transformation: (0.12 [m2/kW]*1000 [kW/MW])/4259200 [kg H2]</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</si>
  <si>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</si>
  <si>
    <t>anode and cathode with frame</t>
  </si>
  <si>
    <t>Nickel, 99.5%, at plant</t>
  </si>
  <si>
    <t>Polyphenylene sulfide, at plant</t>
  </si>
  <si>
    <t>diaphragm, zirfon</t>
  </si>
  <si>
    <t>Zirconium oxide, at plant</t>
  </si>
  <si>
    <t>AU</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</si>
  <si>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</si>
  <si>
    <t>Glass fibre, at plant</t>
  </si>
  <si>
    <t>hydrogen dryer and de-oxidizer</t>
  </si>
  <si>
    <t>tubing and cables</t>
  </si>
  <si>
    <t>water cooling plant for electrolyzer</t>
  </si>
  <si>
    <t>pumps and coolers</t>
  </si>
  <si>
    <t>gas separator</t>
  </si>
  <si>
    <t>steel tank for KOH</t>
  </si>
  <si>
    <t>alkali-resistant rotary pump</t>
  </si>
  <si>
    <t>storage tank</t>
  </si>
  <si>
    <t>hydrogen production, gaseous, 1 bar, from SOEC electrolysis, from grid electricity</t>
  </si>
  <si>
    <t>1 kg H2 produced using a SOEC electrolyzer. Original source: 1 MW SOEC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</si>
  <si>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1 bar</t>
  </si>
  <si>
    <t>electrolyzer production, 1MWe, SOEC, Stack</t>
  </si>
  <si>
    <t>electrolyzer, 1MWe, SOEC, Stack</t>
  </si>
  <si>
    <t>Stack, 2.5 years lifetime.</t>
  </si>
  <si>
    <t>electrolyzer production, 1MWe, SOEC, Balance of Plant</t>
  </si>
  <si>
    <t>electrolyzer, 1MWe, SOEC, Balance of Plant</t>
  </si>
  <si>
    <t>treatment of fuel cell stack, 1MWe, SOEC</t>
  </si>
  <si>
    <t>used fuel cell stack, 1MWe, SOEC</t>
  </si>
  <si>
    <t>treatment of fuel cell balance of plant, 1MWe, SOEC</t>
  </si>
  <si>
    <t>used fuel cell balance of plant, 1MWe, SOEC</t>
  </si>
  <si>
    <t>Electricity consumption with 85% eff if steam input, otherwise, 78.7%.</t>
  </si>
  <si>
    <t>Heat, from natural gas</t>
  </si>
  <si>
    <t>megajoule</t>
  </si>
  <si>
    <t>5.24 kWh heat needed/kg H2</t>
  </si>
  <si>
    <t>Electrolyser land footprint: (0.02 [m2/kW]*1000[kW/MW])/(3776000[kg H2 per lifetime]/20[years])</t>
  </si>
  <si>
    <t>Electrolyser land transformation: (0.02 [m2/kW]*1000 [kW/MW])/3776000 [kg H2]</t>
  </si>
  <si>
    <t>hydrogen production, gaseous, 1 bar, from SOEC electrolysis, with steam input, from grid electricity</t>
  </si>
  <si>
    <t>5.24 kWh heat needed/kg H2. Can also be excess heat.</t>
  </si>
  <si>
    <t xml:space="preserve">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 Amounts of lanthanum oxide and strontium carbonate are unsure. </t>
  </si>
  <si>
    <t>air electrode</t>
  </si>
  <si>
    <t>xx Praseodymium oxide, at plant</t>
  </si>
  <si>
    <t>CN</t>
  </si>
  <si>
    <t>screen printing</t>
  </si>
  <si>
    <t>blocking layer</t>
  </si>
  <si>
    <t>xx Samarium europium gadolinium concentrate, 94% rare earth oxide, at plant</t>
  </si>
  <si>
    <t>Cerium concentrate, 60% cerium oxide, at plant</t>
  </si>
  <si>
    <t>Lanthanum oxide, at plant</t>
  </si>
  <si>
    <t>electrolyte - to check</t>
  </si>
  <si>
    <t>Potassium carbonate, at plant</t>
  </si>
  <si>
    <t>Aluminium oxide, at plant</t>
  </si>
  <si>
    <t>electrolyte + H2 electrode</t>
  </si>
  <si>
    <t>Boric oxide, at plant</t>
  </si>
  <si>
    <t>Magnesium oxide, at plant</t>
  </si>
  <si>
    <t>Silicone product, at plant</t>
  </si>
  <si>
    <t>firing of cell</t>
  </si>
  <si>
    <t>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t>
  </si>
  <si>
    <t>heat exchangers</t>
  </si>
  <si>
    <t>frequency converters</t>
  </si>
  <si>
    <t>diaphragm compressor</t>
  </si>
  <si>
    <t>container with pipes and fittings for diaphragm compressor</t>
  </si>
  <si>
    <t>power electronics (rectifier, voltage adaptation)</t>
  </si>
  <si>
    <t>control electronics</t>
  </si>
  <si>
    <t>mixer</t>
  </si>
  <si>
    <t>splitter</t>
  </si>
  <si>
    <t>flange</t>
  </si>
  <si>
    <t>vessel</t>
  </si>
  <si>
    <t>Acrylonitrile-butadiene-styrene copolymer, ABS, at plant</t>
  </si>
  <si>
    <t>control panel</t>
  </si>
  <si>
    <t>skid component</t>
  </si>
  <si>
    <t>separator</t>
  </si>
  <si>
    <t>water pump</t>
  </si>
  <si>
    <t>frequency converter -water pump</t>
  </si>
  <si>
    <t>tubing</t>
  </si>
  <si>
    <t>water purifier &amp; feed tank</t>
  </si>
  <si>
    <t>foundation</t>
  </si>
  <si>
    <t>skip</t>
  </si>
  <si>
    <t xml:space="preserve">This inventory has been taken from the additional premise inventories. </t>
  </si>
  <si>
    <t>https://github.com/polca/premise/tree/master/premise/data/additional_inventories</t>
  </si>
  <si>
    <t xml:space="preserve">It has been downloaded in April 2024. </t>
  </si>
  <si>
    <t>This inventory models hydrogen production from electrolysis with PEM, AEC and SOEC electrolysers.</t>
  </si>
  <si>
    <t>It contains the following datasets:</t>
  </si>
  <si>
    <t>AEC</t>
  </si>
  <si>
    <t>PEMC</t>
  </si>
  <si>
    <t>SOEC</t>
  </si>
  <si>
    <t>SOEC + steam</t>
  </si>
  <si>
    <t>Source</t>
  </si>
  <si>
    <t>Stack lifetime [hours]</t>
  </si>
  <si>
    <t xml:space="preserve">55’000 </t>
  </si>
  <si>
    <t>45’000</t>
  </si>
  <si>
    <t>20’000</t>
  </si>
  <si>
    <t>IndWEDe</t>
  </si>
  <si>
    <t>Stack lifetime [years]</t>
  </si>
  <si>
    <t>IndWEDe, based on the lower estimate of 8,000 hours per year, from manufacturers’ data.</t>
  </si>
  <si>
    <t>Balance of Plant lifetime [years]</t>
  </si>
  <si>
    <t>Same as system.</t>
  </si>
  <si>
    <t>From row below.</t>
  </si>
  <si>
    <t>System lifetime [years]</t>
  </si>
  <si>
    <t>Stack replacement over system’s lifetime, excluding initial unit [unit]</t>
  </si>
  <si>
    <t>Calculated.</t>
  </si>
  <si>
    <t>Water demand [kg water/kg H2]</t>
  </si>
  <si>
    <t>8.9, corrected to 14 to represent “real world” operation.</t>
  </si>
  <si>
    <t>(Simoes et al. 2021)</t>
  </si>
  <si>
    <t>Electricity demand [kWh/kg H2]</t>
  </si>
  <si>
    <t>IndWEDe for all cases, except SOEC + steam, which is based on manufacturers’ data.</t>
  </si>
  <si>
    <t>Electrical Efficiency [%, based on H2 LHV]</t>
  </si>
  <si>
    <t>From row above.</t>
  </si>
  <si>
    <t>Steam demand [kWh/kg H2]</t>
  </si>
  <si>
    <t>Manufacturers’ data, also matching with (Gerloff 2021a).</t>
  </si>
  <si>
    <t>Productivity [kg H2/hour]</t>
  </si>
  <si>
    <t>KOH [kg/kg H2]</t>
  </si>
  <si>
    <t>(Gerloff 2021a)</t>
  </si>
  <si>
    <t>Operating temperature [°C]</t>
  </si>
  <si>
    <t>60-80</t>
  </si>
  <si>
    <t>50-80</t>
  </si>
  <si>
    <t>650-1000</t>
  </si>
  <si>
    <t>Manufacturers’ data.</t>
  </si>
  <si>
    <t>Operating pressure [bar]</t>
  </si>
  <si>
    <t>~20</t>
  </si>
  <si>
    <t>~30</t>
  </si>
  <si>
    <t>~1</t>
  </si>
  <si>
    <t>Produced amount over system’s lifetime years [kg H2]</t>
  </si>
  <si>
    <t>Calculated based on the system’s lifetime (fourth row), and 8,000 hours stack operation per year (from manufacturers’ data) and hourly productivity.</t>
  </si>
  <si>
    <t>Manufacturer</t>
  </si>
  <si>
    <t>Model</t>
  </si>
  <si>
    <t>Electrolysis type</t>
  </si>
  <si>
    <t>Minimum power consumption [kW]</t>
  </si>
  <si>
    <t>Rated power [kW]</t>
  </si>
  <si>
    <t>Maximum power consumption [kW]</t>
  </si>
  <si>
    <t>Voltage consumption [V]</t>
  </si>
  <si>
    <t>Type of current [V]</t>
  </si>
  <si>
    <t>Space requirement [m²/kW]</t>
  </si>
  <si>
    <t>Start-up dynamics [s]</t>
  </si>
  <si>
    <t>Water treatment [s]</t>
  </si>
  <si>
    <t>Max. system availability [hours/year]</t>
  </si>
  <si>
    <t>Min. ambient temperature [°C]</t>
  </si>
  <si>
    <t>Max. Ambient temperature [°C]</t>
  </si>
  <si>
    <t>Spec. electricity demand [kWh/Nm³H2]</t>
  </si>
  <si>
    <t>Spec. electricity demand [kWh/kgH2]</t>
  </si>
  <si>
    <t>Spec. Heat demand [MJ/kgH2]</t>
  </si>
  <si>
    <t>Useful heat output [kW/kW]</t>
  </si>
  <si>
    <t>Temperature of useful heat [°C]</t>
  </si>
  <si>
    <t>Electrical efficiency [%, LHV]</t>
  </si>
  <si>
    <t>Total efficiency [%]</t>
  </si>
  <si>
    <t>Minimum stack temperature [°C]</t>
  </si>
  <si>
    <t>Maximum stack temperature [°C]</t>
  </si>
  <si>
    <t>Required water quality [µS/cm]</t>
  </si>
  <si>
    <t>Stack life [h]</t>
  </si>
  <si>
    <t>Maintenance interval [h]</t>
  </si>
  <si>
    <t>H2 quality</t>
  </si>
  <si>
    <t>H2 pressure level [bar]</t>
  </si>
  <si>
    <t>H2 quantity [kg/h]</t>
  </si>
  <si>
    <t>H2 quantity [Nm³/h]</t>
  </si>
  <si>
    <t>Gas treatment</t>
  </si>
  <si>
    <t>H2 quality after treatment</t>
  </si>
  <si>
    <t>Maximum H2 pressure level [bar]</t>
  </si>
  <si>
    <t>Hoeller Electrolyzer_x000D_GmbH</t>
  </si>
  <si>
    <t>Prometheus L_x000D_Stack</t>
  </si>
  <si>
    <t>PEM</t>
  </si>
  <si>
    <t>DC</t>
  </si>
  <si>
    <t>Yes</t>
  </si>
  <si>
    <t>Optional</t>
  </si>
  <si>
    <t>HIAT gGmbH</t>
  </si>
  <si>
    <t>PURIFIER</t>
  </si>
  <si>
    <t>Enapter</t>
  </si>
  <si>
    <t>EL 2.1</t>
  </si>
  <si>
    <t>AC</t>
  </si>
  <si>
    <t>McPhy Energy S.A.</t>
  </si>
  <si>
    <t>Piel Baby</t>
  </si>
  <si>
    <t>ostermeier H2ydrogen_x000D_Solutions GmbH</t>
  </si>
  <si>
    <t>EO.05</t>
  </si>
  <si>
    <t>Piel P</t>
  </si>
  <si>
    <t>H2 Core Systems GmbH</t>
  </si>
  <si>
    <t>HydroCab_x000D_Indoor 2.0_x000D_Nm3/h</t>
  </si>
  <si>
    <t>AC/_x000D_DC</t>
  </si>
  <si>
    <t>HydroCab_x000D_Outdoor 2.0_x000D_Nm3/h</t>
  </si>
  <si>
    <t>CUSTOMIZER</t>
  </si>
  <si>
    <t>EO.10</t>
  </si>
  <si>
    <t>EO.15</t>
  </si>
  <si>
    <t>HydroCab_x000D_Indoor 4.5_x000D_Nm3/h</t>
  </si>
  <si>
    <t>HydroCab_x000D_Outdoor 4.5_x000D_Nm3/h</t>
  </si>
  <si>
    <t>Piel M</t>
  </si>
  <si>
    <t>EO.20</t>
  </si>
  <si>
    <t>AVX/KUMATEC Hydrogen_x000D_GmbH &amp; Co. KG</t>
  </si>
  <si>
    <t>PEM-100-25</t>
  </si>
  <si>
    <t>EO.25</t>
  </si>
  <si>
    <t>SUPPLIER</t>
  </si>
  <si>
    <t>HydroCab_x000D_Indoor 9.0_x000D_Nm3/h</t>
  </si>
  <si>
    <t>HydroCab_x000D_Outdoor 9.0_x000D_Nm3/h</t>
  </si>
  <si>
    <t>McLyzer 10-30</t>
  </si>
  <si>
    <t>Kyros Hydrogen_x000D_Solutions GmbH</t>
  </si>
  <si>
    <t>Kyros_x000D_Electrolyzer 50</t>
  </si>
  <si>
    <t>Piel H</t>
  </si>
  <si>
    <t>HydroCab_x000D_Indoor 18.0_x000D_Nm3/h</t>
  </si>
  <si>
    <t>HydroCab_x000D_Outdoor 18.0_x000D_Nm3/h</t>
  </si>
  <si>
    <t>McLyzer 20-30</t>
  </si>
  <si>
    <t>STORAGER</t>
  </si>
  <si>
    <t>iph Hähn Gmbh</t>
  </si>
  <si>
    <t>EL20</t>
  </si>
  <si>
    <t>PEM-40-100</t>
  </si>
  <si>
    <t>Hydrogenics_x000D_(Cummins Inc.)*</t>
  </si>
  <si>
    <t>HySTAT 10</t>
  </si>
  <si>
    <t>Kyros_x000D_Electrolyzer 100</t>
  </si>
  <si>
    <t>Prometheus S_x000D_Stack</t>
  </si>
  <si>
    <t>HySTAT 15</t>
  </si>
  <si>
    <t>HydroCab_x000D_Indoor 36.0_x000D_Nm3/h</t>
  </si>
  <si>
    <t>HydroCab_x000D_Outdoor 36.0_x000D_Nm3/h</t>
  </si>
  <si>
    <t>Kyros_x000D_Electrolyzer 150</t>
  </si>
  <si>
    <t>EL40</t>
  </si>
  <si>
    <t>Kyros_x000D_Electrolyzer 200</t>
  </si>
  <si>
    <t>Hydrogenics</t>
  </si>
  <si>
    <t>HySTAT 30</t>
  </si>
  <si>
    <t>H-TEC SYSTEMS GmbH</t>
  </si>
  <si>
    <t>ME100/350</t>
  </si>
  <si>
    <t>Kyros_x000D_Electrolyzer 300</t>
  </si>
  <si>
    <t>EL80</t>
  </si>
  <si>
    <t>McLyzer 100-30</t>
  </si>
  <si>
    <t>Multicore MC_x000D_225/450</t>
  </si>
  <si>
    <t>Kyros_x000D_Electrolyzer 450</t>
  </si>
  <si>
    <t>HySTAT 60</t>
  </si>
  <si>
    <t>HySTAT 70</t>
  </si>
  <si>
    <t>ITMPower</t>
  </si>
  <si>
    <t>HGAS1SP</t>
  </si>
  <si>
    <t>Kyros_x000D_Electrolyzer 600</t>
  </si>
  <si>
    <t>HyLyzer 200</t>
  </si>
  <si>
    <t>HySTAT 100</t>
  </si>
  <si>
    <t>Kyros_x000D_Electrolyzer 750</t>
  </si>
  <si>
    <t>McLyzer 200-30</t>
  </si>
  <si>
    <t>Ecoclean GmbH</t>
  </si>
  <si>
    <t>EcoLyzer P200</t>
  </si>
  <si>
    <t>Multicore_x000D_MC450</t>
  </si>
  <si>
    <t>HyLyzer 250</t>
  </si>
  <si>
    <t>PlugPower Inc.</t>
  </si>
  <si>
    <t>1MW_x000D_ELECTROLYZER</t>
  </si>
  <si>
    <t>ME450</t>
  </si>
  <si>
    <t>elogen</t>
  </si>
  <si>
    <t>E200</t>
  </si>
  <si>
    <t>AEM Multicore</t>
  </si>
  <si>
    <t>Fuel Cell Energy</t>
  </si>
  <si>
    <t>Solid Oxide Electrolyzer</t>
  </si>
  <si>
    <t>PEM-40-1000</t>
  </si>
  <si>
    <t>EL220</t>
  </si>
  <si>
    <t>Kyros_x000D_Electrolyzer 1000</t>
  </si>
  <si>
    <t>HGAS2SP</t>
  </si>
  <si>
    <t>ME450/1400</t>
  </si>
  <si>
    <t>EcoLyzer A300</t>
  </si>
  <si>
    <t>HyLyzer 400</t>
  </si>
  <si>
    <t>Kyros_x000D_Electrolyzer 1500</t>
  </si>
  <si>
    <t>HyLyzer 500</t>
  </si>
  <si>
    <t>green-H2-systems</t>
  </si>
  <si>
    <t>green_x000D_Electrolyzer_x000D_gEL400</t>
  </si>
  <si>
    <t>McLyzer 400-30</t>
  </si>
  <si>
    <t>EcoLyzer P400</t>
  </si>
  <si>
    <t>HGAS3SP</t>
  </si>
  <si>
    <t>Kyros_x000D_Electrolyzer 2000</t>
  </si>
  <si>
    <t>Sunfire GmbH</t>
  </si>
  <si>
    <t>Sunfire-HyLink_x000D_SOEC</t>
  </si>
  <si>
    <t>E500</t>
  </si>
  <si>
    <t>EcoLyzer A600</t>
  </si>
  <si>
    <t>green_x000D_Electrolyzer_x000D_gEL600</t>
  </si>
  <si>
    <t>green_x000D_Electrolyzer_x000D_gEL800</t>
  </si>
  <si>
    <t>McLyzer 800-30</t>
  </si>
  <si>
    <t>green_x000D_Electrolyzer_x000D_gEL1000</t>
  </si>
  <si>
    <t>E1000</t>
  </si>
  <si>
    <t>5MW_x000D_ELECTROLYZER</t>
  </si>
  <si>
    <t>HyLyzer 1000</t>
  </si>
  <si>
    <t>Bloom</t>
  </si>
  <si>
    <t>Electrolyzer + steam</t>
  </si>
  <si>
    <t>Electrolyzer</t>
  </si>
  <si>
    <t>E2000</t>
  </si>
  <si>
    <t>HGASXMW</t>
  </si>
  <si>
    <t>Sunfire GmbH*</t>
  </si>
  <si>
    <t>Sunfire-HyLink_x000D_Alkaline</t>
  </si>
  <si>
    <t>E3000</t>
  </si>
  <si>
    <t>thyssenkrupp Uhde_x000D_Chlorine Engineers*</t>
  </si>
  <si>
    <t>20 MW module</t>
  </si>
  <si>
    <t>E4000</t>
  </si>
  <si>
    <t>Indoor</t>
  </si>
  <si>
    <t>ALLAGASH ELECTROLYZER STACK 50</t>
  </si>
  <si>
    <t>ALLAGASH ELECTROLYZER STACK 200</t>
  </si>
  <si>
    <t>MERRIMACK ELECTROLYZER STACK 10</t>
  </si>
  <si>
    <t>MERRIMACK ELECTROLYZER STACK 30</t>
  </si>
  <si>
    <t>Siemens Energy</t>
  </si>
  <si>
    <t>Silyzer 300 Minimalbeispiel</t>
  </si>
  <si>
    <t>Silyzer 300 Maximalbeispiel</t>
  </si>
  <si>
    <t>DK</t>
  </si>
  <si>
    <t>Water, deionised, water balance according to MoeK 2013, at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</si>
</sst>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sz val="12"/>
      <name val="Calibri"/>
      <family val="2"/>
      <scheme val="minor"/>
    </font>
    <font>
      <sz val="11"/>
      <color theme="1"/>
      <name val="Arial"/>
      <family val="2"/>
    </font>
    <font>
      <b/>
      <sz val="10"/>
      <color theme="1"/>
      <name val="Arial"/>
      <family val="2"/>
    </font>
    <font>
      <sz val="10"/>
      <color rgb="FF000000"/>
      <name val="Arial"/>
      <family val="2"/>
    </font>
  </fonts>
  <fills count="9">
    <fill>
      <patternFill patternType="none"/>
    </fill>
    <fill>
      <patternFill patternType="gray125"/>
    </fill>
    <fill>
      <patternFill patternType="solid">
        <fgColor rgb="FFFFEB9C"/>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
      <left/>
      <right style="medium">
        <color rgb="FF999999"/>
      </right>
      <top style="thick">
        <color rgb="FF666666"/>
      </top>
      <bottom style="medium">
        <color rgb="FF999999"/>
      </bottom>
      <diagonal/>
    </border>
    <border>
      <left/>
      <right style="medium">
        <color rgb="FF999999"/>
      </right>
      <top style="medium">
        <color rgb="FF999999"/>
      </top>
      <bottom style="medium">
        <color rgb="FF999999"/>
      </bottom>
      <diagonal/>
    </border>
    <border>
      <left/>
      <right/>
      <top style="medium">
        <color rgb="FF999999"/>
      </top>
      <bottom style="medium">
        <color rgb="FF999999"/>
      </bottom>
      <diagonal/>
    </border>
    <border>
      <left style="medium">
        <color rgb="FF999999"/>
      </left>
      <right style="medium">
        <color rgb="FF999999"/>
      </right>
      <top style="medium">
        <color rgb="FF999999"/>
      </top>
      <bottom style="medium">
        <color rgb="FF999999"/>
      </bottom>
      <diagonal/>
    </border>
    <border>
      <left style="medium">
        <color rgb="FF999999"/>
      </left>
      <right style="medium">
        <color rgb="FF999999"/>
      </right>
      <top style="thick">
        <color rgb="FF666666"/>
      </top>
      <bottom style="medium">
        <color rgb="FF999999"/>
      </bottom>
      <diagonal/>
    </border>
  </borders>
  <cellStyleXfs count="6">
    <xf numFmtId="0" fontId="0" fillId="0" borderId="0"/>
    <xf numFmtId="0" fontId="1" fillId="0" borderId="0"/>
    <xf numFmtId="0" fontId="1" fillId="0" borderId="0"/>
    <xf numFmtId="0" fontId="3" fillId="0" borderId="0"/>
    <xf numFmtId="0" fontId="4" fillId="2" borderId="0"/>
    <xf numFmtId="9" fontId="1" fillId="0" borderId="0"/>
  </cellStyleXfs>
  <cellXfs count="96">
    <xf numFmtId="0" fontId="0" fillId="0" borderId="0" xfId="0"/>
    <xf numFmtId="0" fontId="2" fillId="0" borderId="0" xfId="1" applyFont="1"/>
    <xf numFmtId="0" fontId="1" fillId="0" borderId="0" xfId="1"/>
    <xf numFmtId="0" fontId="1" fillId="0" borderId="0" xfId="0" applyFont="1"/>
    <xf numFmtId="0" fontId="0" fillId="0" borderId="1" xfId="0" applyBorder="1"/>
    <xf numFmtId="0" fontId="1" fillId="0" borderId="1" xfId="1" applyBorder="1"/>
    <xf numFmtId="0" fontId="5" fillId="0" borderId="0" xfId="0" applyFont="1"/>
    <xf numFmtId="0" fontId="7" fillId="0" borderId="0" xfId="2" applyFont="1"/>
    <xf numFmtId="0" fontId="7" fillId="0" borderId="0" xfId="0" applyFont="1"/>
    <xf numFmtId="2" fontId="7" fillId="0" borderId="0" xfId="0" applyNumberFormat="1" applyFont="1"/>
    <xf numFmtId="0" fontId="6" fillId="0" borderId="0" xfId="0" applyFont="1"/>
    <xf numFmtId="2" fontId="5" fillId="0" borderId="0" xfId="0" applyNumberFormat="1" applyFont="1"/>
    <xf numFmtId="2" fontId="0" fillId="0" borderId="0" xfId="0" applyNumberFormat="1"/>
    <xf numFmtId="2" fontId="7" fillId="0" borderId="0" xfId="1" applyNumberFormat="1" applyFont="1" applyAlignment="1">
      <alignment wrapText="1"/>
    </xf>
    <xf numFmtId="2" fontId="7" fillId="0" borderId="0" xfId="2" quotePrefix="1" applyNumberFormat="1" applyFont="1"/>
    <xf numFmtId="2" fontId="7" fillId="0" borderId="0" xfId="2" applyNumberFormat="1" applyFont="1"/>
    <xf numFmtId="0" fontId="5" fillId="0" borderId="0" xfId="0" applyFont="1" applyAlignment="1">
      <alignment horizontal="left" vertical="center" wrapText="1"/>
    </xf>
    <xf numFmtId="164" fontId="0" fillId="0" borderId="0" xfId="0" applyNumberFormat="1"/>
    <xf numFmtId="165" fontId="0" fillId="0" borderId="0" xfId="0" applyNumberFormat="1"/>
    <xf numFmtId="166" fontId="0" fillId="0" borderId="0" xfId="0" applyNumberFormat="1"/>
    <xf numFmtId="2" fontId="0" fillId="0" borderId="0" xfId="5" applyNumberFormat="1" applyFont="1"/>
    <xf numFmtId="0" fontId="9" fillId="0" borderId="2" xfId="0" applyFont="1" applyBorder="1" applyAlignment="1">
      <alignment vertical="top"/>
    </xf>
    <xf numFmtId="0" fontId="10" fillId="0" borderId="3" xfId="0" applyFont="1" applyBorder="1" applyAlignment="1">
      <alignment vertical="center"/>
    </xf>
    <xf numFmtId="0" fontId="10" fillId="0" borderId="3"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vertical="center"/>
    </xf>
    <xf numFmtId="0" fontId="11" fillId="0" borderId="5" xfId="0" applyFont="1" applyBorder="1" applyAlignment="1">
      <alignment vertical="center" wrapText="1"/>
    </xf>
    <xf numFmtId="0" fontId="10" fillId="0" borderId="4" xfId="0" applyFont="1" applyBorder="1" applyAlignment="1">
      <alignment vertical="center"/>
    </xf>
    <xf numFmtId="10" fontId="3" fillId="0" borderId="5" xfId="0" applyNumberFormat="1" applyFont="1" applyBorder="1" applyAlignment="1">
      <alignment vertical="center"/>
    </xf>
    <xf numFmtId="9" fontId="11" fillId="0" borderId="5" xfId="0" applyNumberFormat="1" applyFont="1" applyBorder="1" applyAlignment="1">
      <alignment vertical="center" wrapText="1"/>
    </xf>
    <xf numFmtId="0" fontId="11" fillId="0" borderId="5" xfId="0" applyFont="1" applyBorder="1" applyAlignment="1">
      <alignment vertical="center"/>
    </xf>
    <xf numFmtId="0" fontId="9" fillId="0" borderId="5" xfId="0" applyFont="1" applyBorder="1" applyAlignment="1">
      <alignment vertical="center"/>
    </xf>
    <xf numFmtId="0" fontId="10" fillId="0" borderId="4" xfId="0" applyFont="1" applyBorder="1" applyAlignment="1">
      <alignment vertical="center" wrapText="1"/>
    </xf>
    <xf numFmtId="0" fontId="6" fillId="4" borderId="0" xfId="1" applyFont="1" applyFill="1"/>
    <xf numFmtId="0" fontId="7" fillId="4" borderId="0" xfId="2" applyFont="1" applyFill="1"/>
    <xf numFmtId="0" fontId="7" fillId="4" borderId="0" xfId="0" applyFont="1" applyFill="1"/>
    <xf numFmtId="0" fontId="7" fillId="4" borderId="0" xfId="1" applyFont="1" applyFill="1"/>
    <xf numFmtId="11" fontId="7" fillId="4" borderId="0" xfId="0" applyNumberFormat="1" applyFont="1" applyFill="1"/>
    <xf numFmtId="0" fontId="6" fillId="4" borderId="0" xfId="0" applyFont="1" applyFill="1"/>
    <xf numFmtId="0" fontId="8" fillId="4" borderId="0" xfId="0" applyFont="1" applyFill="1"/>
    <xf numFmtId="0" fontId="7" fillId="4" borderId="0" xfId="4" applyFont="1" applyFill="1"/>
    <xf numFmtId="11" fontId="7" fillId="4" borderId="0" xfId="4" applyNumberFormat="1" applyFont="1" applyFill="1"/>
    <xf numFmtId="2" fontId="7" fillId="4" borderId="0" xfId="0" applyNumberFormat="1" applyFont="1" applyFill="1"/>
    <xf numFmtId="2" fontId="7" fillId="4" borderId="0" xfId="4" applyNumberFormat="1" applyFont="1" applyFill="1"/>
    <xf numFmtId="0" fontId="6" fillId="4" borderId="0" xfId="2" applyFont="1" applyFill="1"/>
    <xf numFmtId="0" fontId="7" fillId="4" borderId="1" xfId="2" applyFont="1" applyFill="1" applyBorder="1"/>
    <xf numFmtId="0" fontId="7" fillId="4" borderId="0" xfId="0" applyFont="1" applyFill="1" applyAlignment="1">
      <alignment horizontal="left" vertical="center"/>
    </xf>
    <xf numFmtId="0" fontId="6" fillId="3" borderId="0" xfId="1" applyFont="1" applyFill="1"/>
    <xf numFmtId="0" fontId="7" fillId="3" borderId="0" xfId="0" applyFont="1" applyFill="1"/>
    <xf numFmtId="0" fontId="7" fillId="3" borderId="0" xfId="2" applyFont="1" applyFill="1"/>
    <xf numFmtId="0" fontId="7" fillId="3" borderId="0" xfId="1" applyFont="1" applyFill="1"/>
    <xf numFmtId="11" fontId="7" fillId="3" borderId="0" xfId="0" applyNumberFormat="1" applyFont="1" applyFill="1"/>
    <xf numFmtId="0" fontId="6" fillId="3" borderId="0" xfId="0" applyFont="1" applyFill="1"/>
    <xf numFmtId="0" fontId="6" fillId="3" borderId="0" xfId="2" applyFont="1" applyFill="1"/>
    <xf numFmtId="2" fontId="7" fillId="3" borderId="0" xfId="0" applyNumberFormat="1" applyFont="1" applyFill="1"/>
    <xf numFmtId="0" fontId="8" fillId="3" borderId="0" xfId="0" applyFont="1" applyFill="1"/>
    <xf numFmtId="0" fontId="7" fillId="3" borderId="0" xfId="4" applyFont="1" applyFill="1"/>
    <xf numFmtId="0" fontId="7" fillId="3" borderId="1" xfId="2" applyFont="1" applyFill="1" applyBorder="1"/>
    <xf numFmtId="0" fontId="7" fillId="3" borderId="0" xfId="0" applyFont="1" applyFill="1" applyAlignment="1">
      <alignment horizontal="left" vertical="center"/>
    </xf>
    <xf numFmtId="0" fontId="6" fillId="5" borderId="0" xfId="1" applyFont="1" applyFill="1"/>
    <xf numFmtId="0" fontId="7" fillId="5" borderId="0" xfId="0" applyFont="1" applyFill="1"/>
    <xf numFmtId="0" fontId="7" fillId="5" borderId="0" xfId="2" applyFont="1" applyFill="1"/>
    <xf numFmtId="0" fontId="7" fillId="5" borderId="0" xfId="1" applyFont="1" applyFill="1"/>
    <xf numFmtId="11" fontId="7" fillId="5" borderId="0" xfId="0" applyNumberFormat="1" applyFont="1" applyFill="1"/>
    <xf numFmtId="0" fontId="6" fillId="5" borderId="0" xfId="0" applyFont="1" applyFill="1"/>
    <xf numFmtId="0" fontId="6" fillId="5" borderId="0" xfId="2" applyFont="1" applyFill="1"/>
    <xf numFmtId="2" fontId="7" fillId="5" borderId="0" xfId="0" applyNumberFormat="1" applyFont="1" applyFill="1"/>
    <xf numFmtId="0" fontId="8" fillId="5" borderId="0" xfId="0" applyFont="1" applyFill="1"/>
    <xf numFmtId="0" fontId="7" fillId="5" borderId="0" xfId="4" applyFont="1" applyFill="1"/>
    <xf numFmtId="0" fontId="0" fillId="6" borderId="0" xfId="0" applyFill="1"/>
    <xf numFmtId="0" fontId="2" fillId="7" borderId="0" xfId="1" applyFont="1" applyFill="1"/>
    <xf numFmtId="1" fontId="0" fillId="0" borderId="0" xfId="0" applyNumberFormat="1"/>
    <xf numFmtId="0" fontId="2" fillId="8" borderId="0" xfId="0" applyFont="1" applyFill="1"/>
    <xf numFmtId="2" fontId="7" fillId="4" borderId="0" xfId="1" applyNumberFormat="1" applyFont="1" applyFill="1" applyAlignment="1">
      <alignment horizontal="left"/>
    </xf>
    <xf numFmtId="2" fontId="2" fillId="7" borderId="0" xfId="1" applyNumberFormat="1" applyFont="1" applyFill="1"/>
    <xf numFmtId="2" fontId="2" fillId="0" borderId="0" xfId="1" applyNumberFormat="1" applyFont="1"/>
    <xf numFmtId="2" fontId="6" fillId="4" borderId="0" xfId="0" applyNumberFormat="1" applyFont="1" applyFill="1"/>
    <xf numFmtId="2" fontId="7" fillId="4" borderId="0" xfId="2" applyNumberFormat="1" applyFont="1" applyFill="1"/>
    <xf numFmtId="2" fontId="6" fillId="3" borderId="0" xfId="0" applyNumberFormat="1" applyFont="1" applyFill="1"/>
    <xf numFmtId="2" fontId="7" fillId="3" borderId="0" xfId="1" applyNumberFormat="1" applyFont="1" applyFill="1" applyAlignment="1">
      <alignment horizontal="left"/>
    </xf>
    <xf numFmtId="2" fontId="7" fillId="3" borderId="0" xfId="4" applyNumberFormat="1" applyFont="1" applyFill="1"/>
    <xf numFmtId="2" fontId="7" fillId="3" borderId="0" xfId="2" applyNumberFormat="1" applyFont="1" applyFill="1"/>
    <xf numFmtId="2" fontId="6" fillId="5" borderId="0" xfId="0" applyNumberFormat="1" applyFont="1" applyFill="1"/>
    <xf numFmtId="2" fontId="7" fillId="5" borderId="0" xfId="1" applyNumberFormat="1" applyFont="1" applyFill="1" applyAlignment="1">
      <alignment horizontal="left"/>
    </xf>
    <xf numFmtId="2" fontId="7" fillId="5" borderId="0" xfId="4" applyNumberFormat="1" applyFont="1" applyFill="1"/>
    <xf numFmtId="2" fontId="2" fillId="0" borderId="0" xfId="0" applyNumberFormat="1" applyFont="1"/>
    <xf numFmtId="11" fontId="7" fillId="6" borderId="0" xfId="0" applyNumberFormat="1" applyFont="1" applyFill="1"/>
    <xf numFmtId="0" fontId="7" fillId="6" borderId="0" xfId="0" applyFont="1" applyFill="1"/>
    <xf numFmtId="0" fontId="3" fillId="0" borderId="9" xfId="0" applyFont="1" applyBorder="1" applyAlignment="1">
      <alignment vertical="center" wrapText="1"/>
    </xf>
    <xf numFmtId="0" fontId="0" fillId="0" borderId="7" xfId="0" applyBorder="1"/>
    <xf numFmtId="0" fontId="3" fillId="0" borderId="9" xfId="0" applyFont="1" applyBorder="1" applyAlignment="1">
      <alignment vertical="center"/>
    </xf>
    <xf numFmtId="0" fontId="0" fillId="0" borderId="8" xfId="0" applyBorder="1"/>
    <xf numFmtId="0" fontId="9" fillId="0" borderId="9" xfId="0" applyFont="1" applyBorder="1" applyAlignment="1">
      <alignment vertical="center"/>
    </xf>
    <xf numFmtId="0" fontId="3" fillId="0" borderId="10" xfId="0" applyFont="1" applyBorder="1" applyAlignment="1">
      <alignment vertical="center" wrapText="1"/>
    </xf>
    <xf numFmtId="0" fontId="0" fillId="0" borderId="6" xfId="0" applyBorder="1"/>
    <xf numFmtId="0" fontId="11" fillId="0" borderId="9" xfId="0" applyFont="1" applyBorder="1" applyAlignment="1">
      <alignment vertical="center"/>
    </xf>
  </cellXfs>
  <cellStyles count="6">
    <cellStyle name="Neutral" xfId="4" builtinId="28"/>
    <cellStyle name="Normal" xfId="0" builtinId="0"/>
    <cellStyle name="Normal 11 3" xfId="1" xr:uid="{00000000-0005-0000-0000-000001000000}"/>
    <cellStyle name="Normal 2" xfId="2" xr:uid="{00000000-0005-0000-0000-000002000000}"/>
    <cellStyle name="Normal 3" xfId="3" xr:uid="{00000000-0005-0000-0000-000003000000}"/>
    <cellStyle name="Per 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B21" sqref="B21"/>
    </sheetView>
  </sheetViews>
  <sheetFormatPr baseColWidth="10" defaultColWidth="8.83203125" defaultRowHeight="15" x14ac:dyDescent="0.2"/>
  <cols>
    <col min="2" max="2" width="92" bestFit="1" customWidth="1"/>
    <col min="3" max="3" width="74.33203125" bestFit="1" customWidth="1"/>
  </cols>
  <sheetData>
    <row r="1" spans="1:4" x14ac:dyDescent="0.2">
      <c r="A1" s="69" t="s">
        <v>258</v>
      </c>
    </row>
    <row r="3" spans="1:4" x14ac:dyDescent="0.2">
      <c r="B3" t="s">
        <v>259</v>
      </c>
    </row>
    <row r="5" spans="1:4" x14ac:dyDescent="0.2">
      <c r="B5" t="s">
        <v>260</v>
      </c>
    </row>
    <row r="7" spans="1:4" x14ac:dyDescent="0.2">
      <c r="B7" t="s">
        <v>261</v>
      </c>
    </row>
    <row r="9" spans="1:4" x14ac:dyDescent="0.2">
      <c r="B9" t="s">
        <v>262</v>
      </c>
    </row>
    <row r="11" spans="1:4" x14ac:dyDescent="0.2">
      <c r="B11" t="s">
        <v>263</v>
      </c>
    </row>
    <row r="13" spans="1:4" x14ac:dyDescent="0.2">
      <c r="B13" s="85" t="str">
        <f>lci!B4</f>
        <v>hydrogen production, gaseous, 30 bar, from PEM electrolysis, from grid electricity</v>
      </c>
      <c r="C13" s="85" t="str">
        <f>lci!B185</f>
        <v>hydrogen production, gaseous, 20 bar, from AEC electrolysis, from grid electricity</v>
      </c>
      <c r="D13" s="85" t="str">
        <f>lci!B346</f>
        <v>hydrogen production, gaseous, 1 bar, from SOEC electrolysis, with steam input, from grid electricity</v>
      </c>
    </row>
    <row r="14" spans="1:4" x14ac:dyDescent="0.2">
      <c r="B14" s="12" t="str">
        <f>lci!B24</f>
        <v>electrolyzer production, 1MWe, PEM, Stack</v>
      </c>
      <c r="C14" s="12" t="str">
        <f>lci!B206</f>
        <v>electrolyzer production, 1MWe, AEC, Stack</v>
      </c>
      <c r="D14" s="12" t="str">
        <f>lci!B367</f>
        <v>electrolyzer production, 1MWe, SOEC, Stack</v>
      </c>
    </row>
    <row r="15" spans="1:4" x14ac:dyDescent="0.2">
      <c r="B15" s="12" t="str">
        <f>lci!B49</f>
        <v>treatment of fuel cell stack, 1MWe, PEM</v>
      </c>
      <c r="C15" s="12" t="str">
        <f>lci!B223</f>
        <v>treatment of fuel cell stack, 1MWe, AEC</v>
      </c>
      <c r="D15" s="12" t="str">
        <f>lci!B393</f>
        <v>treatment of fuel cell stack, 1MWe, SOEC</v>
      </c>
    </row>
    <row r="16" spans="1:4" x14ac:dyDescent="0.2">
      <c r="B16" s="12" t="str">
        <f>lci!B64</f>
        <v>electrolyzer production, 1MWe, PEM, Balance of Plant</v>
      </c>
      <c r="C16" s="12" t="str">
        <f>lci!B235</f>
        <v>electrolyzer production, 1MWe, AEC, Balance of Plant</v>
      </c>
      <c r="D16" s="12" t="str">
        <f>lci!B404</f>
        <v>electrolyzer production, 1MWe, SOEC, Balance of Plant</v>
      </c>
    </row>
    <row r="17" spans="2:4" x14ac:dyDescent="0.2">
      <c r="B17" s="12" t="str">
        <f>lci!B122</f>
        <v>treatment of fuel cell balance of plant, 1MWe, PEM</v>
      </c>
      <c r="C17" s="12" t="str">
        <f>lci!B304</f>
        <v>treatment of fuel cell balance of plant, 1MWe, AEC</v>
      </c>
      <c r="D17" s="12" t="str">
        <f>lci!B478</f>
        <v>treatment of fuel cell balance of plant, 1MWe, SOEC</v>
      </c>
    </row>
    <row r="18" spans="2:4" x14ac:dyDescent="0.2">
      <c r="B18" s="12" t="str">
        <f>lci!B144</f>
        <v>iridium production</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98"/>
  <sheetViews>
    <sheetView tabSelected="1" topLeftCell="A459" zoomScale="70" zoomScaleNormal="70" workbookViewId="0">
      <selection activeCell="A466" sqref="A466"/>
    </sheetView>
  </sheetViews>
  <sheetFormatPr baseColWidth="10" defaultColWidth="8.83203125" defaultRowHeight="15" x14ac:dyDescent="0.2"/>
  <cols>
    <col min="1" max="1" width="68.5" customWidth="1"/>
    <col min="2" max="2" width="40.83203125" style="12" customWidth="1"/>
    <col min="3" max="3" width="33.5" bestFit="1" customWidth="1"/>
    <col min="4" max="4" width="17.1640625" customWidth="1"/>
    <col min="5" max="5" width="24.33203125" bestFit="1" customWidth="1"/>
    <col min="6" max="6" width="26.5" customWidth="1"/>
    <col min="7" max="7" width="14.83203125" bestFit="1" customWidth="1"/>
    <col min="8" max="8" width="14.83203125" customWidth="1"/>
    <col min="9" max="9" width="56.5" customWidth="1"/>
    <col min="10" max="10" width="99.1640625" style="4" customWidth="1"/>
    <col min="11" max="11" width="31" customWidth="1"/>
  </cols>
  <sheetData>
    <row r="1" spans="1:21" x14ac:dyDescent="0.2">
      <c r="A1" t="s">
        <v>0</v>
      </c>
      <c r="B1" s="71">
        <v>9</v>
      </c>
    </row>
    <row r="2" spans="1:21" x14ac:dyDescent="0.2">
      <c r="A2" s="70" t="s">
        <v>1</v>
      </c>
      <c r="B2" s="74" t="s">
        <v>2</v>
      </c>
      <c r="C2" s="2"/>
      <c r="D2" s="2"/>
      <c r="E2" s="2"/>
      <c r="F2" s="2"/>
      <c r="G2" s="2"/>
      <c r="H2" s="2"/>
      <c r="I2" s="2"/>
      <c r="J2" s="5"/>
      <c r="L2" s="3"/>
    </row>
    <row r="3" spans="1:21" x14ac:dyDescent="0.2">
      <c r="A3" s="1"/>
      <c r="B3" s="75"/>
      <c r="C3" s="2"/>
      <c r="D3" s="2"/>
      <c r="E3" s="2"/>
      <c r="F3" s="2"/>
      <c r="G3" s="2"/>
      <c r="H3" s="2"/>
      <c r="I3" s="2"/>
      <c r="J3" s="5"/>
      <c r="L3" s="3"/>
    </row>
    <row r="4" spans="1:21" s="8" customFormat="1" ht="15.5" customHeight="1" x14ac:dyDescent="0.2">
      <c r="A4" s="33" t="s">
        <v>3</v>
      </c>
      <c r="B4" s="76" t="s">
        <v>4</v>
      </c>
      <c r="C4" s="35"/>
      <c r="D4" s="34"/>
      <c r="E4" s="35"/>
      <c r="F4" s="35"/>
      <c r="G4" s="35"/>
      <c r="H4" s="35"/>
      <c r="I4" s="35"/>
      <c r="L4" s="9"/>
      <c r="M4" s="9"/>
      <c r="N4" s="9"/>
      <c r="O4" s="9"/>
      <c r="P4" s="9"/>
      <c r="Q4" s="9"/>
    </row>
    <row r="5" spans="1:21" s="8" customFormat="1" ht="15" customHeight="1" x14ac:dyDescent="0.2">
      <c r="A5" s="36" t="s">
        <v>5</v>
      </c>
      <c r="B5" s="73">
        <v>1</v>
      </c>
      <c r="C5" s="35"/>
      <c r="D5" s="35"/>
      <c r="E5" s="35"/>
      <c r="F5" s="35"/>
      <c r="G5" s="35"/>
      <c r="H5" s="35"/>
      <c r="I5" s="35"/>
      <c r="L5" s="9"/>
      <c r="M5" s="9"/>
      <c r="N5" s="9"/>
      <c r="O5" s="9"/>
      <c r="P5" s="9"/>
      <c r="Q5" s="9"/>
    </row>
    <row r="6" spans="1:21" s="8" customFormat="1" ht="15" customHeight="1" x14ac:dyDescent="0.2">
      <c r="A6" s="36" t="s">
        <v>6</v>
      </c>
      <c r="B6" s="73" t="s">
        <v>7</v>
      </c>
      <c r="C6" s="35"/>
      <c r="D6" s="35"/>
      <c r="E6" s="35"/>
      <c r="F6" s="35"/>
      <c r="G6" s="35"/>
      <c r="H6" s="35"/>
      <c r="I6" s="35"/>
      <c r="L6" s="9"/>
      <c r="M6" s="9"/>
      <c r="N6" s="9"/>
      <c r="O6" s="9"/>
      <c r="P6" s="9"/>
      <c r="Q6" s="9"/>
    </row>
    <row r="7" spans="1:21" s="8" customFormat="1" ht="15" customHeight="1" x14ac:dyDescent="0.2">
      <c r="A7" s="36" t="s">
        <v>8</v>
      </c>
      <c r="B7" s="43" t="s">
        <v>9</v>
      </c>
      <c r="C7" s="35"/>
      <c r="D7" s="35"/>
      <c r="E7" s="35"/>
      <c r="F7" s="35"/>
      <c r="G7" s="35"/>
      <c r="H7" s="35"/>
      <c r="I7" s="35"/>
      <c r="L7" s="9"/>
      <c r="M7" s="9"/>
      <c r="N7" s="9"/>
      <c r="O7" s="9"/>
      <c r="P7" s="9"/>
      <c r="Q7" s="9"/>
    </row>
    <row r="8" spans="1:21" s="8" customFormat="1" ht="15" customHeight="1" x14ac:dyDescent="0.2">
      <c r="A8" s="36" t="s">
        <v>10</v>
      </c>
      <c r="B8" s="73" t="s">
        <v>467</v>
      </c>
      <c r="C8" s="35"/>
      <c r="D8" s="35"/>
      <c r="E8" s="35"/>
      <c r="F8" s="35"/>
      <c r="G8" s="35"/>
      <c r="H8" s="35"/>
      <c r="I8" s="35"/>
      <c r="L8" s="9"/>
      <c r="M8" s="9"/>
      <c r="N8" s="9"/>
      <c r="O8" s="9"/>
      <c r="P8" s="9"/>
      <c r="Q8" s="9"/>
    </row>
    <row r="9" spans="1:21" s="8" customFormat="1" ht="15.5" customHeight="1" x14ac:dyDescent="0.2">
      <c r="A9" s="36" t="s">
        <v>12</v>
      </c>
      <c r="B9" s="42" t="s">
        <v>13</v>
      </c>
      <c r="C9" s="35"/>
      <c r="D9" s="35"/>
      <c r="E9" s="35"/>
      <c r="F9" s="35"/>
      <c r="G9" s="35"/>
      <c r="H9" s="35"/>
      <c r="I9" s="38"/>
      <c r="J9" s="10"/>
      <c r="K9" s="10"/>
      <c r="L9" s="9"/>
      <c r="M9" s="9"/>
      <c r="N9" s="9"/>
      <c r="O9" s="9"/>
      <c r="P9" s="9"/>
      <c r="Q9" s="9"/>
    </row>
    <row r="10" spans="1:21" s="8" customFormat="1" ht="15.5" customHeight="1" x14ac:dyDescent="0.2">
      <c r="A10" s="38" t="s">
        <v>14</v>
      </c>
      <c r="B10" s="76"/>
      <c r="C10" s="38"/>
      <c r="D10" s="38"/>
      <c r="E10" s="38"/>
      <c r="F10" s="38"/>
      <c r="G10" s="38"/>
      <c r="H10" s="38"/>
      <c r="I10" s="34"/>
      <c r="J10" s="7"/>
      <c r="K10" s="7"/>
      <c r="L10" s="9"/>
      <c r="M10" s="9"/>
      <c r="N10" s="9"/>
      <c r="O10" s="9"/>
      <c r="P10" s="9"/>
      <c r="Q10" s="9"/>
    </row>
    <row r="11" spans="1:21" s="8" customFormat="1" ht="15.5" customHeight="1" x14ac:dyDescent="0.2">
      <c r="A11" s="38" t="s">
        <v>15</v>
      </c>
      <c r="B11" s="76" t="s">
        <v>16</v>
      </c>
      <c r="C11" s="38" t="s">
        <v>8</v>
      </c>
      <c r="D11" s="38" t="s">
        <v>10</v>
      </c>
      <c r="E11" s="38" t="s">
        <v>12</v>
      </c>
      <c r="F11" s="38" t="s">
        <v>17</v>
      </c>
      <c r="G11" s="38" t="s">
        <v>18</v>
      </c>
      <c r="H11" s="38" t="s">
        <v>19</v>
      </c>
      <c r="I11" s="38" t="s">
        <v>6</v>
      </c>
      <c r="J11" s="10"/>
      <c r="K11" s="6"/>
      <c r="L11" s="11"/>
      <c r="M11" s="11"/>
      <c r="N11" s="11"/>
      <c r="O11" s="11"/>
      <c r="P11" s="11"/>
      <c r="Q11" s="11"/>
      <c r="R11" s="6"/>
      <c r="S11" s="6"/>
      <c r="T11" s="10"/>
      <c r="U11" s="6"/>
    </row>
    <row r="12" spans="1:21" s="8" customFormat="1" ht="15.5" customHeight="1" x14ac:dyDescent="0.2">
      <c r="A12" s="37" t="s">
        <v>4</v>
      </c>
      <c r="B12" s="42">
        <v>1</v>
      </c>
      <c r="C12" s="37" t="s">
        <v>9</v>
      </c>
      <c r="D12" s="86" t="s">
        <v>467</v>
      </c>
      <c r="E12" s="37" t="s">
        <v>13</v>
      </c>
      <c r="F12" s="34"/>
      <c r="G12" s="35" t="s">
        <v>20</v>
      </c>
      <c r="H12" s="37" t="s">
        <v>2</v>
      </c>
      <c r="I12" s="34"/>
      <c r="J12" s="7"/>
      <c r="L12" s="9"/>
      <c r="M12" s="9"/>
      <c r="N12" s="9"/>
      <c r="O12" s="9"/>
      <c r="P12" s="9"/>
      <c r="Q12" s="9"/>
    </row>
    <row r="13" spans="1:21" s="8" customFormat="1" ht="15.5" customHeight="1" x14ac:dyDescent="0.2">
      <c r="A13" s="37" t="s">
        <v>21</v>
      </c>
      <c r="B13" s="37">
        <v>1.3498920086393089E-6</v>
      </c>
      <c r="C13" s="35" t="s">
        <v>22</v>
      </c>
      <c r="D13" s="35" t="s">
        <v>11</v>
      </c>
      <c r="E13" s="35" t="s">
        <v>12</v>
      </c>
      <c r="F13" s="35"/>
      <c r="G13" s="35" t="s">
        <v>23</v>
      </c>
      <c r="H13" s="37" t="s">
        <v>2</v>
      </c>
      <c r="I13" s="35" t="s">
        <v>24</v>
      </c>
      <c r="L13" s="12"/>
      <c r="M13" s="12"/>
      <c r="N13" s="12"/>
      <c r="O13" s="12"/>
      <c r="P13" s="12"/>
      <c r="Q13" s="12"/>
    </row>
    <row r="14" spans="1:21" s="8" customFormat="1" ht="15.5" customHeight="1" x14ac:dyDescent="0.2">
      <c r="A14" s="37" t="s">
        <v>25</v>
      </c>
      <c r="B14" s="37">
        <v>3.3747300215982718E-7</v>
      </c>
      <c r="C14" s="35" t="s">
        <v>26</v>
      </c>
      <c r="D14" s="35" t="s">
        <v>11</v>
      </c>
      <c r="E14" s="35" t="s">
        <v>12</v>
      </c>
      <c r="F14" s="35"/>
      <c r="G14" s="35" t="s">
        <v>23</v>
      </c>
      <c r="H14" s="37" t="s">
        <v>2</v>
      </c>
      <c r="I14" s="35" t="s">
        <v>27</v>
      </c>
      <c r="L14" s="12"/>
      <c r="M14" s="12"/>
      <c r="N14" s="12"/>
      <c r="O14" s="12"/>
      <c r="P14" s="12"/>
      <c r="Q14" s="12"/>
    </row>
    <row r="15" spans="1:21" s="8" customFormat="1" ht="15.5" customHeight="1" x14ac:dyDescent="0.2">
      <c r="A15" s="37" t="s">
        <v>28</v>
      </c>
      <c r="B15" s="37">
        <v>-1.3498920086393089E-6</v>
      </c>
      <c r="C15" s="35" t="s">
        <v>29</v>
      </c>
      <c r="D15" s="35" t="s">
        <v>11</v>
      </c>
      <c r="E15" s="35" t="s">
        <v>12</v>
      </c>
      <c r="F15" s="35"/>
      <c r="G15" s="35" t="s">
        <v>23</v>
      </c>
      <c r="H15" s="37" t="s">
        <v>2</v>
      </c>
      <c r="I15" s="35" t="s">
        <v>30</v>
      </c>
      <c r="K15" s="72" t="s">
        <v>31</v>
      </c>
      <c r="L15" s="12"/>
      <c r="M15" s="12"/>
      <c r="N15" s="12"/>
      <c r="O15" s="12"/>
      <c r="P15" s="12"/>
      <c r="Q15" s="12"/>
    </row>
    <row r="16" spans="1:21" s="8" customFormat="1" ht="15.5" customHeight="1" x14ac:dyDescent="0.2">
      <c r="A16" s="37" t="s">
        <v>32</v>
      </c>
      <c r="B16" s="37">
        <v>-3.3747300215982718E-7</v>
      </c>
      <c r="C16" s="35" t="s">
        <v>33</v>
      </c>
      <c r="D16" s="35" t="s">
        <v>11</v>
      </c>
      <c r="E16" s="35" t="s">
        <v>12</v>
      </c>
      <c r="F16" s="35"/>
      <c r="G16" s="35" t="s">
        <v>23</v>
      </c>
      <c r="H16" s="37" t="s">
        <v>2</v>
      </c>
      <c r="I16" s="35" t="s">
        <v>34</v>
      </c>
      <c r="K16" s="72" t="s">
        <v>35</v>
      </c>
      <c r="L16" s="12"/>
      <c r="M16" s="12"/>
      <c r="N16" s="12"/>
      <c r="O16" s="12"/>
      <c r="P16" s="12"/>
      <c r="Q16" s="12"/>
    </row>
    <row r="17" spans="1:21" s="8" customFormat="1" ht="15.5" customHeight="1" x14ac:dyDescent="0.2">
      <c r="A17" s="36" t="s">
        <v>36</v>
      </c>
      <c r="B17" s="42">
        <v>54</v>
      </c>
      <c r="C17" s="35" t="s">
        <v>36</v>
      </c>
      <c r="D17" s="35" t="s">
        <v>467</v>
      </c>
      <c r="E17" s="35" t="s">
        <v>37</v>
      </c>
      <c r="F17" s="34"/>
      <c r="G17" s="35" t="s">
        <v>23</v>
      </c>
      <c r="H17" s="35" t="s">
        <v>38</v>
      </c>
      <c r="I17" s="34" t="s">
        <v>39</v>
      </c>
      <c r="K17" s="34" t="s">
        <v>40</v>
      </c>
      <c r="L17" s="12"/>
      <c r="M17" s="12"/>
      <c r="N17" s="12"/>
      <c r="O17" s="12"/>
      <c r="P17" s="12"/>
      <c r="Q17" s="12"/>
    </row>
    <row r="18" spans="1:21" s="8" customFormat="1" ht="15.5" customHeight="1" x14ac:dyDescent="0.2">
      <c r="A18" s="36" t="s">
        <v>468</v>
      </c>
      <c r="B18" s="42">
        <v>14</v>
      </c>
      <c r="C18" s="35" t="s">
        <v>468</v>
      </c>
      <c r="D18" s="35" t="s">
        <v>467</v>
      </c>
      <c r="E18" s="35" t="s">
        <v>13</v>
      </c>
      <c r="F18" s="35"/>
      <c r="G18" s="35" t="s">
        <v>23</v>
      </c>
      <c r="H18" s="35" t="s">
        <v>38</v>
      </c>
      <c r="I18" s="39" t="s">
        <v>42</v>
      </c>
      <c r="L18" s="12"/>
      <c r="M18" s="12"/>
      <c r="N18" s="12"/>
      <c r="O18" s="12"/>
      <c r="P18" s="12"/>
      <c r="Q18" s="12"/>
    </row>
    <row r="19" spans="1:21" s="8" customFormat="1" ht="15.5" customHeight="1" x14ac:dyDescent="0.2">
      <c r="A19" s="40" t="s">
        <v>43</v>
      </c>
      <c r="B19" s="43">
        <v>8</v>
      </c>
      <c r="C19" s="40"/>
      <c r="D19" s="40"/>
      <c r="E19" s="40" t="s">
        <v>13</v>
      </c>
      <c r="F19" s="40" t="s">
        <v>44</v>
      </c>
      <c r="G19" s="40" t="s">
        <v>45</v>
      </c>
      <c r="H19" s="35" t="s">
        <v>46</v>
      </c>
      <c r="I19" s="40"/>
      <c r="L19" s="12"/>
      <c r="M19" s="12"/>
      <c r="N19" s="12"/>
      <c r="O19" s="12"/>
      <c r="P19" s="12"/>
      <c r="Q19" s="12"/>
      <c r="R19" s="12"/>
    </row>
    <row r="20" spans="1:21" s="8" customFormat="1" ht="15.5" customHeight="1" x14ac:dyDescent="0.2">
      <c r="A20" s="40" t="s">
        <v>47</v>
      </c>
      <c r="B20" s="41">
        <v>6.0745140388768898E-4</v>
      </c>
      <c r="C20" s="35"/>
      <c r="D20" s="40"/>
      <c r="E20" s="40" t="s">
        <v>48</v>
      </c>
      <c r="F20" s="40" t="s">
        <v>49</v>
      </c>
      <c r="G20" s="40" t="s">
        <v>45</v>
      </c>
      <c r="H20" s="35" t="s">
        <v>46</v>
      </c>
      <c r="I20" s="40" t="s">
        <v>50</v>
      </c>
      <c r="K20" s="8">
        <v>2</v>
      </c>
      <c r="L20">
        <v>-7.4062383795497411</v>
      </c>
      <c r="M20" s="12">
        <v>1.05</v>
      </c>
      <c r="N20" s="12">
        <v>1.1000000000000001</v>
      </c>
      <c r="O20" s="12">
        <v>1</v>
      </c>
      <c r="P20" s="12">
        <v>1.02</v>
      </c>
      <c r="Q20" s="12">
        <v>1.2</v>
      </c>
      <c r="R20" s="12">
        <v>1.2</v>
      </c>
      <c r="S20" s="12">
        <v>1.5</v>
      </c>
      <c r="T20">
        <v>0.24634371748562631</v>
      </c>
    </row>
    <row r="21" spans="1:21" s="8" customFormat="1" ht="15.5" customHeight="1" x14ac:dyDescent="0.2">
      <c r="A21" s="40" t="s">
        <v>51</v>
      </c>
      <c r="B21" s="41">
        <v>3.0372570194384448E-5</v>
      </c>
      <c r="C21" s="35"/>
      <c r="D21" s="40"/>
      <c r="E21" s="40" t="s">
        <v>52</v>
      </c>
      <c r="F21" s="40" t="s">
        <v>49</v>
      </c>
      <c r="G21" s="40" t="s">
        <v>45</v>
      </c>
      <c r="H21" s="35" t="s">
        <v>46</v>
      </c>
      <c r="I21" s="40" t="s">
        <v>53</v>
      </c>
      <c r="K21" s="8">
        <v>2</v>
      </c>
      <c r="L21">
        <v>-10.40197065310373</v>
      </c>
      <c r="M21" s="12">
        <v>1.05</v>
      </c>
      <c r="N21" s="12">
        <v>1.1000000000000001</v>
      </c>
      <c r="O21" s="12">
        <v>1</v>
      </c>
      <c r="P21" s="12">
        <v>1.02</v>
      </c>
      <c r="Q21" s="12">
        <v>1.2</v>
      </c>
      <c r="R21" s="12">
        <v>1.2</v>
      </c>
      <c r="S21" s="12">
        <v>1.5</v>
      </c>
      <c r="T21">
        <v>0.24634371748562631</v>
      </c>
    </row>
    <row r="22" spans="1:21" s="8" customFormat="1" ht="15.5" customHeight="1" x14ac:dyDescent="0.2">
      <c r="A22" s="40" t="s">
        <v>54</v>
      </c>
      <c r="B22" s="41">
        <v>3.0372570194384448E-5</v>
      </c>
      <c r="C22" s="35"/>
      <c r="D22" s="40"/>
      <c r="E22" s="40" t="s">
        <v>52</v>
      </c>
      <c r="F22" s="40" t="s">
        <v>49</v>
      </c>
      <c r="G22" s="40" t="s">
        <v>45</v>
      </c>
      <c r="H22" s="35" t="s">
        <v>46</v>
      </c>
      <c r="I22" s="40" t="s">
        <v>53</v>
      </c>
      <c r="K22" s="8">
        <v>2</v>
      </c>
      <c r="L22">
        <v>-10.40197065310373</v>
      </c>
      <c r="M22" s="12">
        <v>1.05</v>
      </c>
      <c r="N22" s="12">
        <v>1.1000000000000001</v>
      </c>
      <c r="O22" s="12">
        <v>1</v>
      </c>
      <c r="P22" s="12">
        <v>1.02</v>
      </c>
      <c r="Q22" s="12">
        <v>1.2</v>
      </c>
      <c r="R22" s="12">
        <v>1.2</v>
      </c>
      <c r="S22" s="12">
        <v>1.5</v>
      </c>
      <c r="T22">
        <v>0.24634371748562631</v>
      </c>
    </row>
    <row r="23" spans="1:21" s="8" customFormat="1" ht="15" customHeight="1" x14ac:dyDescent="0.2">
      <c r="B23" s="9"/>
      <c r="L23" s="9"/>
      <c r="M23" s="9"/>
      <c r="N23" s="9"/>
      <c r="O23" s="9"/>
      <c r="P23" s="9"/>
      <c r="Q23" s="9"/>
    </row>
    <row r="24" spans="1:21" s="8" customFormat="1" ht="15.5" customHeight="1" x14ac:dyDescent="0.2">
      <c r="A24" s="33" t="s">
        <v>3</v>
      </c>
      <c r="B24" s="76" t="s">
        <v>21</v>
      </c>
      <c r="C24" s="35"/>
      <c r="D24" s="35"/>
      <c r="E24" s="35"/>
      <c r="F24" s="35"/>
      <c r="G24" s="35"/>
      <c r="H24" s="35"/>
      <c r="I24" s="35"/>
      <c r="L24" s="9"/>
      <c r="M24" s="9"/>
      <c r="N24" s="9"/>
      <c r="O24" s="9"/>
      <c r="P24" s="9"/>
      <c r="Q24" s="9"/>
    </row>
    <row r="25" spans="1:21" s="8" customFormat="1" ht="15" customHeight="1" x14ac:dyDescent="0.2">
      <c r="A25" s="36" t="s">
        <v>5</v>
      </c>
      <c r="B25" s="73">
        <v>1</v>
      </c>
      <c r="C25" s="35"/>
      <c r="D25" s="35"/>
      <c r="E25" s="35"/>
      <c r="F25" s="35"/>
      <c r="G25" s="35"/>
      <c r="H25" s="35"/>
      <c r="I25" s="35"/>
      <c r="L25" s="9"/>
      <c r="M25" s="9"/>
      <c r="N25" s="9"/>
      <c r="O25" s="9"/>
      <c r="P25" s="9"/>
      <c r="Q25" s="9"/>
    </row>
    <row r="26" spans="1:21" s="8" customFormat="1" ht="15" customHeight="1" x14ac:dyDescent="0.2">
      <c r="A26" s="36" t="s">
        <v>6</v>
      </c>
      <c r="B26" s="73" t="s">
        <v>55</v>
      </c>
      <c r="C26" s="35"/>
      <c r="D26" s="35"/>
      <c r="E26" s="35"/>
      <c r="F26" s="35"/>
      <c r="G26" s="35"/>
      <c r="H26" s="35"/>
      <c r="I26" s="35"/>
      <c r="L26" s="9"/>
      <c r="M26" s="9"/>
      <c r="N26" s="9"/>
      <c r="O26" s="9"/>
      <c r="P26" s="9"/>
      <c r="Q26" s="9"/>
    </row>
    <row r="27" spans="1:21" s="8" customFormat="1" ht="15" customHeight="1" x14ac:dyDescent="0.2">
      <c r="A27" s="36" t="s">
        <v>8</v>
      </c>
      <c r="B27" s="42" t="s">
        <v>22</v>
      </c>
      <c r="C27" s="35"/>
      <c r="D27" s="35"/>
      <c r="E27" s="35"/>
      <c r="F27" s="35"/>
      <c r="G27" s="35"/>
      <c r="H27" s="35"/>
      <c r="I27" s="35"/>
      <c r="L27" s="9"/>
      <c r="M27" s="9"/>
      <c r="N27" s="9"/>
      <c r="O27" s="9"/>
      <c r="P27" s="9"/>
      <c r="Q27" s="9"/>
    </row>
    <row r="28" spans="1:21" s="8" customFormat="1" ht="15" customHeight="1" x14ac:dyDescent="0.2">
      <c r="A28" s="36" t="s">
        <v>10</v>
      </c>
      <c r="B28" s="73" t="s">
        <v>11</v>
      </c>
      <c r="C28" s="35"/>
      <c r="D28" s="35"/>
      <c r="E28" s="35"/>
      <c r="F28" s="35"/>
      <c r="G28" s="35"/>
      <c r="H28" s="35"/>
      <c r="I28" s="35"/>
      <c r="L28" s="9"/>
      <c r="M28" s="9"/>
      <c r="N28" s="9"/>
      <c r="O28" s="9"/>
      <c r="P28" s="9"/>
      <c r="Q28" s="9"/>
    </row>
    <row r="29" spans="1:21" s="8" customFormat="1" ht="15" customHeight="1" x14ac:dyDescent="0.2">
      <c r="A29" s="36" t="s">
        <v>12</v>
      </c>
      <c r="B29" s="42" t="s">
        <v>12</v>
      </c>
      <c r="C29" s="35"/>
      <c r="D29" s="35"/>
      <c r="E29" s="35"/>
      <c r="F29" s="35"/>
      <c r="G29" s="35"/>
      <c r="H29" s="35"/>
      <c r="I29" s="35"/>
      <c r="L29" s="9"/>
      <c r="M29" s="9"/>
      <c r="N29" s="9"/>
      <c r="O29" s="9"/>
      <c r="P29" s="9"/>
      <c r="Q29" s="9"/>
    </row>
    <row r="30" spans="1:21" s="8" customFormat="1" ht="15.5" customHeight="1" x14ac:dyDescent="0.2">
      <c r="A30" s="38" t="s">
        <v>14</v>
      </c>
      <c r="B30" s="76"/>
      <c r="C30" s="38"/>
      <c r="D30" s="38"/>
      <c r="E30" s="38"/>
      <c r="F30" s="38"/>
      <c r="G30" s="38"/>
      <c r="H30" s="38"/>
      <c r="I30" s="38"/>
      <c r="J30" s="10"/>
      <c r="K30" s="10"/>
      <c r="L30" s="9"/>
      <c r="M30" s="9"/>
      <c r="N30" s="9"/>
      <c r="O30" s="9"/>
      <c r="P30" s="9"/>
      <c r="Q30" s="9"/>
    </row>
    <row r="31" spans="1:21" s="8" customFormat="1" ht="15.5" customHeight="1" x14ac:dyDescent="0.2">
      <c r="A31" s="38" t="s">
        <v>15</v>
      </c>
      <c r="B31" s="76" t="s">
        <v>16</v>
      </c>
      <c r="C31" s="38" t="s">
        <v>8</v>
      </c>
      <c r="D31" s="38" t="s">
        <v>10</v>
      </c>
      <c r="E31" s="38" t="s">
        <v>12</v>
      </c>
      <c r="F31" s="44" t="s">
        <v>17</v>
      </c>
      <c r="G31" s="38" t="s">
        <v>18</v>
      </c>
      <c r="H31" s="38" t="s">
        <v>19</v>
      </c>
      <c r="I31" s="44" t="s">
        <v>6</v>
      </c>
      <c r="J31" s="10"/>
      <c r="K31" s="6"/>
      <c r="L31" s="11"/>
      <c r="M31" s="11"/>
      <c r="N31" s="11"/>
      <c r="O31" s="11"/>
      <c r="P31" s="11"/>
      <c r="Q31" s="11"/>
      <c r="R31" s="6"/>
      <c r="S31" s="6"/>
      <c r="T31" s="10"/>
      <c r="U31" s="6"/>
    </row>
    <row r="32" spans="1:21" s="8" customFormat="1" ht="15" customHeight="1" x14ac:dyDescent="0.2">
      <c r="A32" s="37" t="s">
        <v>21</v>
      </c>
      <c r="B32" s="42">
        <v>1</v>
      </c>
      <c r="C32" s="35" t="s">
        <v>22</v>
      </c>
      <c r="D32" s="35" t="s">
        <v>11</v>
      </c>
      <c r="E32" s="35" t="s">
        <v>12</v>
      </c>
      <c r="F32" s="35"/>
      <c r="G32" s="35" t="s">
        <v>20</v>
      </c>
      <c r="H32" s="37" t="s">
        <v>2</v>
      </c>
      <c r="I32" s="35"/>
      <c r="L32" s="9"/>
      <c r="M32" s="9"/>
      <c r="N32" s="9"/>
      <c r="O32" s="9"/>
      <c r="P32" s="9"/>
      <c r="Q32" s="9"/>
    </row>
    <row r="33" spans="1:18" s="8" customFormat="1" ht="15.5" customHeight="1" x14ac:dyDescent="0.2">
      <c r="A33" s="87" t="s">
        <v>56</v>
      </c>
      <c r="B33" s="42">
        <v>27</v>
      </c>
      <c r="C33" s="35" t="s">
        <v>56</v>
      </c>
      <c r="D33" s="35" t="s">
        <v>11</v>
      </c>
      <c r="E33" s="35" t="s">
        <v>13</v>
      </c>
      <c r="F33" s="35"/>
      <c r="G33" s="35" t="s">
        <v>23</v>
      </c>
      <c r="H33" s="35" t="s">
        <v>38</v>
      </c>
      <c r="I33" s="35" t="s">
        <v>57</v>
      </c>
      <c r="L33" s="12"/>
      <c r="M33" s="12"/>
      <c r="N33" s="12"/>
      <c r="O33" s="12"/>
      <c r="P33" s="12"/>
      <c r="Q33" s="12"/>
    </row>
    <row r="34" spans="1:18" s="8" customFormat="1" ht="15.5" customHeight="1" x14ac:dyDescent="0.2">
      <c r="A34" s="35" t="s">
        <v>58</v>
      </c>
      <c r="B34" s="42">
        <v>27</v>
      </c>
      <c r="C34" s="35" t="s">
        <v>58</v>
      </c>
      <c r="D34" s="35" t="s">
        <v>11</v>
      </c>
      <c r="E34" s="35" t="s">
        <v>13</v>
      </c>
      <c r="F34" s="35"/>
      <c r="G34" s="35" t="s">
        <v>23</v>
      </c>
      <c r="H34" s="35" t="s">
        <v>38</v>
      </c>
      <c r="I34" s="35" t="s">
        <v>57</v>
      </c>
      <c r="L34" s="12"/>
      <c r="M34" s="12"/>
      <c r="N34" s="12"/>
      <c r="O34" s="12"/>
      <c r="P34" s="12"/>
      <c r="Q34" s="12"/>
    </row>
    <row r="35" spans="1:18" s="8" customFormat="1" ht="15.5" customHeight="1" x14ac:dyDescent="0.2">
      <c r="A35" s="35" t="s">
        <v>59</v>
      </c>
      <c r="B35" s="42">
        <v>528</v>
      </c>
      <c r="C35" s="35" t="s">
        <v>59</v>
      </c>
      <c r="D35" s="87" t="s">
        <v>11</v>
      </c>
      <c r="E35" s="35" t="s">
        <v>13</v>
      </c>
      <c r="F35" s="35"/>
      <c r="G35" s="35" t="s">
        <v>23</v>
      </c>
      <c r="H35" s="35" t="s">
        <v>38</v>
      </c>
      <c r="I35" s="35" t="s">
        <v>60</v>
      </c>
      <c r="L35" s="12"/>
      <c r="M35" s="12"/>
      <c r="N35" s="12"/>
      <c r="O35" s="12"/>
      <c r="P35" s="12"/>
      <c r="Q35" s="12"/>
    </row>
    <row r="36" spans="1:18" s="8" customFormat="1" ht="15.5" customHeight="1" x14ac:dyDescent="0.2">
      <c r="A36" s="35" t="s">
        <v>61</v>
      </c>
      <c r="B36" s="42">
        <v>16</v>
      </c>
      <c r="C36" s="35" t="s">
        <v>61</v>
      </c>
      <c r="D36" s="35" t="s">
        <v>11</v>
      </c>
      <c r="E36" s="35" t="s">
        <v>13</v>
      </c>
      <c r="F36" s="35"/>
      <c r="G36" s="35" t="s">
        <v>23</v>
      </c>
      <c r="H36" s="35" t="s">
        <v>38</v>
      </c>
      <c r="I36" s="35" t="s">
        <v>62</v>
      </c>
      <c r="L36" s="12"/>
      <c r="M36" s="12"/>
      <c r="N36" s="12"/>
      <c r="O36" s="12"/>
      <c r="P36" s="12"/>
      <c r="Q36" s="12"/>
    </row>
    <row r="37" spans="1:18" s="8" customFormat="1" ht="15.5" customHeight="1" x14ac:dyDescent="0.2">
      <c r="A37" s="35" t="s">
        <v>63</v>
      </c>
      <c r="B37" s="42">
        <v>4.5</v>
      </c>
      <c r="C37" s="35" t="s">
        <v>63</v>
      </c>
      <c r="D37" s="35" t="s">
        <v>64</v>
      </c>
      <c r="E37" s="35" t="s">
        <v>13</v>
      </c>
      <c r="F37" s="35"/>
      <c r="G37" s="35" t="s">
        <v>23</v>
      </c>
      <c r="H37" s="35" t="s">
        <v>38</v>
      </c>
      <c r="I37" s="35" t="s">
        <v>65</v>
      </c>
      <c r="L37" s="12"/>
      <c r="M37" s="12"/>
      <c r="N37" s="12"/>
      <c r="O37" s="12"/>
      <c r="P37" s="12"/>
      <c r="Q37" s="12"/>
    </row>
    <row r="38" spans="1:18" s="8" customFormat="1" ht="15.5" customHeight="1" x14ac:dyDescent="0.2">
      <c r="A38" s="35" t="s">
        <v>66</v>
      </c>
      <c r="B38" s="42">
        <v>0.8</v>
      </c>
      <c r="C38" s="35" t="s">
        <v>67</v>
      </c>
      <c r="D38" s="35" t="s">
        <v>64</v>
      </c>
      <c r="E38" s="35" t="s">
        <v>13</v>
      </c>
      <c r="F38" s="35"/>
      <c r="G38" s="35" t="s">
        <v>23</v>
      </c>
      <c r="H38" s="35" t="s">
        <v>2</v>
      </c>
      <c r="I38" s="35" t="s">
        <v>65</v>
      </c>
      <c r="L38" s="12"/>
      <c r="M38" s="12"/>
      <c r="N38" s="12"/>
      <c r="O38" s="12"/>
      <c r="P38" s="12"/>
      <c r="Q38" s="12"/>
    </row>
    <row r="39" spans="1:18" s="8" customFormat="1" ht="15.5" customHeight="1" x14ac:dyDescent="0.2">
      <c r="A39" s="35" t="s">
        <v>68</v>
      </c>
      <c r="B39" s="42">
        <v>7.4999999999999997E-2</v>
      </c>
      <c r="C39" s="35" t="s">
        <v>68</v>
      </c>
      <c r="D39" s="35" t="s">
        <v>11</v>
      </c>
      <c r="E39" s="35" t="s">
        <v>13</v>
      </c>
      <c r="F39" s="34"/>
      <c r="G39" s="35" t="s">
        <v>23</v>
      </c>
      <c r="H39" s="35" t="s">
        <v>38</v>
      </c>
      <c r="I39" s="34" t="s">
        <v>69</v>
      </c>
      <c r="L39" s="12"/>
      <c r="M39" s="12"/>
      <c r="N39" s="12"/>
      <c r="O39" s="12"/>
      <c r="P39" s="12"/>
      <c r="Q39" s="12"/>
    </row>
    <row r="40" spans="1:18" s="8" customFormat="1" ht="15.5" customHeight="1" x14ac:dyDescent="0.2">
      <c r="A40" s="35" t="s">
        <v>63</v>
      </c>
      <c r="B40" s="42">
        <v>4.5</v>
      </c>
      <c r="C40" s="35" t="s">
        <v>63</v>
      </c>
      <c r="D40" s="35" t="s">
        <v>64</v>
      </c>
      <c r="E40" s="35" t="s">
        <v>13</v>
      </c>
      <c r="F40" s="35"/>
      <c r="G40" s="35" t="s">
        <v>23</v>
      </c>
      <c r="H40" s="35" t="s">
        <v>38</v>
      </c>
      <c r="I40" s="34" t="s">
        <v>69</v>
      </c>
      <c r="L40" s="12"/>
      <c r="M40" s="12"/>
      <c r="N40" s="12"/>
      <c r="O40" s="12"/>
      <c r="P40" s="12"/>
      <c r="Q40" s="12"/>
    </row>
    <row r="41" spans="1:18" s="8" customFormat="1" ht="15.5" customHeight="1" x14ac:dyDescent="0.2">
      <c r="A41" s="35" t="s">
        <v>70</v>
      </c>
      <c r="B41" s="42">
        <v>4.5</v>
      </c>
      <c r="C41" s="35" t="s">
        <v>70</v>
      </c>
      <c r="D41" s="35" t="s">
        <v>64</v>
      </c>
      <c r="E41" s="35" t="s">
        <v>13</v>
      </c>
      <c r="F41" s="35"/>
      <c r="G41" s="35" t="s">
        <v>23</v>
      </c>
      <c r="H41" s="35" t="s">
        <v>38</v>
      </c>
      <c r="I41" s="35" t="s">
        <v>71</v>
      </c>
      <c r="L41" s="12"/>
      <c r="M41" s="12"/>
      <c r="N41" s="12"/>
      <c r="O41" s="12"/>
      <c r="P41" s="12"/>
      <c r="Q41" s="12"/>
    </row>
    <row r="42" spans="1:18" s="8" customFormat="1" ht="15.5" customHeight="1" x14ac:dyDescent="0.2">
      <c r="A42" s="35" t="s">
        <v>72</v>
      </c>
      <c r="B42" s="42">
        <v>4.5</v>
      </c>
      <c r="C42" s="35" t="s">
        <v>72</v>
      </c>
      <c r="D42" s="35" t="s">
        <v>11</v>
      </c>
      <c r="E42" s="35" t="s">
        <v>13</v>
      </c>
      <c r="F42" s="35"/>
      <c r="G42" s="35" t="s">
        <v>23</v>
      </c>
      <c r="H42" s="35" t="s">
        <v>38</v>
      </c>
      <c r="I42" s="35" t="s">
        <v>71</v>
      </c>
      <c r="L42" s="12"/>
      <c r="M42" s="12"/>
      <c r="N42" s="12"/>
      <c r="O42" s="12"/>
      <c r="P42" s="12"/>
      <c r="Q42" s="12"/>
    </row>
    <row r="43" spans="1:18" s="8" customFormat="1" ht="15.5" customHeight="1" x14ac:dyDescent="0.2">
      <c r="A43" s="35" t="s">
        <v>73</v>
      </c>
      <c r="B43" s="42">
        <v>100</v>
      </c>
      <c r="C43" s="35" t="s">
        <v>73</v>
      </c>
      <c r="D43" s="35" t="s">
        <v>11</v>
      </c>
      <c r="E43" s="35" t="s">
        <v>13</v>
      </c>
      <c r="F43" s="35"/>
      <c r="G43" s="35" t="s">
        <v>23</v>
      </c>
      <c r="H43" s="35" t="s">
        <v>38</v>
      </c>
      <c r="I43" s="35" t="s">
        <v>74</v>
      </c>
      <c r="L43" s="12"/>
      <c r="M43" s="12"/>
      <c r="N43" s="12"/>
      <c r="O43" s="12"/>
      <c r="P43" s="12"/>
      <c r="Q43" s="12"/>
    </row>
    <row r="44" spans="1:18" s="8" customFormat="1" ht="15.5" customHeight="1" x14ac:dyDescent="0.2">
      <c r="A44" s="35" t="s">
        <v>75</v>
      </c>
      <c r="B44" s="42">
        <v>100</v>
      </c>
      <c r="C44" s="35" t="s">
        <v>75</v>
      </c>
      <c r="D44" s="35" t="s">
        <v>11</v>
      </c>
      <c r="E44" s="35" t="s">
        <v>13</v>
      </c>
      <c r="F44" s="35"/>
      <c r="G44" s="35" t="s">
        <v>23</v>
      </c>
      <c r="H44" s="35" t="s">
        <v>38</v>
      </c>
      <c r="I44" s="35" t="s">
        <v>74</v>
      </c>
      <c r="L44" s="12"/>
      <c r="M44" s="12"/>
      <c r="N44" s="12"/>
      <c r="O44" s="12"/>
      <c r="P44" s="12"/>
      <c r="Q44" s="12"/>
    </row>
    <row r="45" spans="1:18" s="8" customFormat="1" ht="15.5" customHeight="1" x14ac:dyDescent="0.2">
      <c r="A45" s="35" t="s">
        <v>76</v>
      </c>
      <c r="B45" s="42">
        <v>4.8</v>
      </c>
      <c r="C45" s="35" t="s">
        <v>76</v>
      </c>
      <c r="D45" s="35" t="s">
        <v>11</v>
      </c>
      <c r="E45" s="35" t="s">
        <v>13</v>
      </c>
      <c r="F45" s="35"/>
      <c r="G45" s="35" t="s">
        <v>23</v>
      </c>
      <c r="H45" s="35" t="s">
        <v>38</v>
      </c>
      <c r="I45" s="35" t="s">
        <v>77</v>
      </c>
      <c r="L45" s="12"/>
      <c r="M45" s="12"/>
      <c r="N45" s="12"/>
      <c r="O45" s="12"/>
      <c r="P45" s="12"/>
      <c r="Q45" s="12"/>
    </row>
    <row r="46" spans="1:18" s="8" customFormat="1" ht="15.5" customHeight="1" x14ac:dyDescent="0.2">
      <c r="A46" s="35" t="s">
        <v>36</v>
      </c>
      <c r="B46" s="42">
        <v>103890.7681</v>
      </c>
      <c r="C46" s="34" t="s">
        <v>36</v>
      </c>
      <c r="D46" s="35" t="s">
        <v>64</v>
      </c>
      <c r="E46" s="35" t="s">
        <v>37</v>
      </c>
      <c r="F46" s="34"/>
      <c r="G46" s="35" t="s">
        <v>23</v>
      </c>
      <c r="H46" s="35" t="s">
        <v>38</v>
      </c>
      <c r="I46" s="35" t="s">
        <v>78</v>
      </c>
      <c r="L46" s="12"/>
      <c r="M46" s="12"/>
      <c r="N46" s="12"/>
      <c r="O46" s="12"/>
      <c r="P46" s="12"/>
      <c r="Q46" s="12"/>
    </row>
    <row r="47" spans="1:18" s="8" customFormat="1" ht="15.5" customHeight="1" x14ac:dyDescent="0.2">
      <c r="A47" s="35" t="s">
        <v>79</v>
      </c>
      <c r="B47" s="42">
        <v>0.8</v>
      </c>
      <c r="C47" s="34"/>
      <c r="D47" s="35"/>
      <c r="E47" s="35" t="s">
        <v>13</v>
      </c>
      <c r="F47" s="34" t="s">
        <v>80</v>
      </c>
      <c r="G47" s="35" t="s">
        <v>45</v>
      </c>
      <c r="H47" s="35" t="s">
        <v>46</v>
      </c>
      <c r="I47" s="35"/>
      <c r="L47" s="12"/>
      <c r="M47" s="12"/>
      <c r="N47" s="12"/>
      <c r="O47" s="12"/>
      <c r="P47" s="12"/>
      <c r="Q47" s="12"/>
      <c r="R47" s="12"/>
    </row>
    <row r="48" spans="1:18" s="8" customFormat="1" ht="15" customHeight="1" x14ac:dyDescent="0.2">
      <c r="B48" s="9"/>
      <c r="L48" s="9"/>
      <c r="M48" s="9"/>
      <c r="N48" s="9"/>
      <c r="O48" s="9"/>
      <c r="P48" s="9"/>
      <c r="Q48" s="9"/>
    </row>
    <row r="49" spans="1:21" s="8" customFormat="1" ht="15.5" customHeight="1" x14ac:dyDescent="0.2">
      <c r="A49" s="33" t="s">
        <v>3</v>
      </c>
      <c r="B49" s="76" t="s">
        <v>28</v>
      </c>
      <c r="C49" s="35"/>
      <c r="D49" s="35"/>
      <c r="E49" s="35"/>
      <c r="F49" s="35"/>
      <c r="G49" s="35"/>
      <c r="H49" s="35"/>
      <c r="I49" s="35"/>
      <c r="L49" s="9"/>
      <c r="M49" s="9"/>
      <c r="N49" s="9"/>
      <c r="O49" s="9"/>
      <c r="P49" s="9"/>
      <c r="Q49" s="9"/>
    </row>
    <row r="50" spans="1:21" s="8" customFormat="1" ht="15" customHeight="1" x14ac:dyDescent="0.2">
      <c r="A50" s="36" t="s">
        <v>5</v>
      </c>
      <c r="B50" s="73">
        <v>1</v>
      </c>
      <c r="C50" s="35"/>
      <c r="D50" s="35"/>
      <c r="E50" s="35"/>
      <c r="F50" s="35"/>
      <c r="G50" s="35"/>
      <c r="H50" s="35"/>
      <c r="I50" s="35"/>
      <c r="L50" s="9"/>
      <c r="M50" s="9"/>
      <c r="N50" s="9"/>
      <c r="O50" s="9"/>
      <c r="P50" s="9"/>
      <c r="Q50" s="9"/>
    </row>
    <row r="51" spans="1:21" s="8" customFormat="1" ht="15" customHeight="1" x14ac:dyDescent="0.2">
      <c r="A51" s="36" t="s">
        <v>6</v>
      </c>
      <c r="B51" s="73" t="s">
        <v>55</v>
      </c>
      <c r="C51" s="35"/>
      <c r="D51" s="35"/>
      <c r="E51" s="35"/>
      <c r="F51" s="35"/>
      <c r="G51" s="35"/>
      <c r="H51" s="35"/>
      <c r="I51" s="35"/>
      <c r="L51" s="9"/>
      <c r="M51" s="9"/>
      <c r="N51" s="9"/>
      <c r="O51" s="9"/>
      <c r="P51" s="9"/>
      <c r="Q51" s="9"/>
    </row>
    <row r="52" spans="1:21" s="8" customFormat="1" ht="15" customHeight="1" x14ac:dyDescent="0.2">
      <c r="A52" s="36" t="s">
        <v>8</v>
      </c>
      <c r="B52" s="42" t="s">
        <v>29</v>
      </c>
      <c r="C52" s="35"/>
      <c r="D52" s="35"/>
      <c r="E52" s="35"/>
      <c r="F52" s="35"/>
      <c r="G52" s="35"/>
      <c r="H52" s="35"/>
      <c r="I52" s="35"/>
      <c r="L52" s="9"/>
      <c r="M52" s="9"/>
      <c r="N52" s="9"/>
      <c r="O52" s="9"/>
      <c r="P52" s="9"/>
      <c r="Q52" s="9"/>
    </row>
    <row r="53" spans="1:21" s="8" customFormat="1" ht="15" customHeight="1" x14ac:dyDescent="0.2">
      <c r="A53" s="36" t="s">
        <v>10</v>
      </c>
      <c r="B53" s="73" t="s">
        <v>11</v>
      </c>
      <c r="C53" s="35"/>
      <c r="D53" s="35"/>
      <c r="E53" s="35"/>
      <c r="F53" s="35"/>
      <c r="G53" s="35"/>
      <c r="H53" s="35"/>
      <c r="I53" s="35"/>
      <c r="L53" s="9"/>
      <c r="M53" s="9"/>
      <c r="N53" s="9"/>
      <c r="O53" s="9"/>
      <c r="P53" s="9"/>
      <c r="Q53" s="9"/>
    </row>
    <row r="54" spans="1:21" s="8" customFormat="1" ht="15" customHeight="1" x14ac:dyDescent="0.2">
      <c r="A54" s="36" t="s">
        <v>12</v>
      </c>
      <c r="B54" s="42" t="s">
        <v>12</v>
      </c>
      <c r="C54" s="35"/>
      <c r="D54" s="35"/>
      <c r="E54" s="35"/>
      <c r="F54" s="35"/>
      <c r="G54" s="35"/>
      <c r="H54" s="35"/>
      <c r="I54" s="35"/>
      <c r="L54" s="9"/>
      <c r="M54" s="9"/>
      <c r="N54" s="9"/>
      <c r="O54" s="9"/>
      <c r="P54" s="9"/>
      <c r="Q54" s="9"/>
    </row>
    <row r="55" spans="1:21" s="8" customFormat="1" ht="15.5" customHeight="1" x14ac:dyDescent="0.2">
      <c r="A55" s="38" t="s">
        <v>14</v>
      </c>
      <c r="B55" s="76"/>
      <c r="C55" s="38"/>
      <c r="D55" s="38"/>
      <c r="E55" s="38"/>
      <c r="F55" s="38"/>
      <c r="G55" s="38"/>
      <c r="H55" s="38"/>
      <c r="I55" s="38"/>
      <c r="J55" s="10"/>
      <c r="K55" s="10"/>
      <c r="L55" s="9"/>
      <c r="M55" s="9"/>
      <c r="N55" s="9"/>
      <c r="O55" s="9"/>
      <c r="P55" s="9"/>
      <c r="Q55" s="9"/>
    </row>
    <row r="56" spans="1:21" s="8" customFormat="1" ht="15.5" customHeight="1" x14ac:dyDescent="0.2">
      <c r="A56" s="38" t="s">
        <v>15</v>
      </c>
      <c r="B56" s="76" t="s">
        <v>16</v>
      </c>
      <c r="C56" s="38" t="s">
        <v>8</v>
      </c>
      <c r="D56" s="38" t="s">
        <v>10</v>
      </c>
      <c r="E56" s="38" t="s">
        <v>12</v>
      </c>
      <c r="F56" s="44" t="s">
        <v>17</v>
      </c>
      <c r="G56" s="38" t="s">
        <v>18</v>
      </c>
      <c r="H56" s="38" t="s">
        <v>19</v>
      </c>
      <c r="I56" s="44" t="s">
        <v>6</v>
      </c>
      <c r="J56" s="10"/>
      <c r="K56" s="6"/>
      <c r="L56" s="11"/>
      <c r="M56" s="11"/>
      <c r="N56" s="11"/>
      <c r="O56" s="11"/>
      <c r="P56" s="11"/>
      <c r="Q56" s="11"/>
      <c r="R56" s="6"/>
      <c r="S56" s="6"/>
      <c r="T56" s="10"/>
      <c r="U56" s="6"/>
    </row>
    <row r="57" spans="1:21" s="8" customFormat="1" ht="15" customHeight="1" x14ac:dyDescent="0.2">
      <c r="A57" s="37" t="s">
        <v>28</v>
      </c>
      <c r="B57" s="42">
        <v>-1</v>
      </c>
      <c r="C57" s="35" t="s">
        <v>29</v>
      </c>
      <c r="D57" s="35" t="s">
        <v>11</v>
      </c>
      <c r="E57" s="35" t="s">
        <v>12</v>
      </c>
      <c r="F57" s="35"/>
      <c r="G57" s="35" t="s">
        <v>20</v>
      </c>
      <c r="H57" s="37" t="s">
        <v>2</v>
      </c>
      <c r="I57" s="35"/>
      <c r="L57" s="9"/>
      <c r="M57" s="9"/>
      <c r="N57" s="9"/>
      <c r="O57" s="9"/>
      <c r="P57" s="9"/>
      <c r="Q57" s="9"/>
    </row>
    <row r="58" spans="1:21" s="8" customFormat="1" ht="15.5" customHeight="1" x14ac:dyDescent="0.2">
      <c r="A58" s="37" t="s">
        <v>81</v>
      </c>
      <c r="B58" s="42">
        <v>-100</v>
      </c>
      <c r="C58" s="35" t="s">
        <v>81</v>
      </c>
      <c r="D58" s="35" t="s">
        <v>11</v>
      </c>
      <c r="E58" s="35" t="s">
        <v>13</v>
      </c>
      <c r="F58" s="35"/>
      <c r="G58" s="35" t="s">
        <v>23</v>
      </c>
      <c r="H58" s="35" t="s">
        <v>38</v>
      </c>
      <c r="I58" s="35"/>
      <c r="L58" s="12"/>
      <c r="M58" s="12"/>
      <c r="N58" s="12"/>
      <c r="O58" s="12"/>
      <c r="P58" s="12"/>
      <c r="Q58" s="12"/>
    </row>
    <row r="59" spans="1:21" s="8" customFormat="1" ht="15.5" customHeight="1" x14ac:dyDescent="0.2">
      <c r="A59" s="35" t="s">
        <v>82</v>
      </c>
      <c r="B59" s="42">
        <v>-27</v>
      </c>
      <c r="C59" s="35" t="s">
        <v>82</v>
      </c>
      <c r="D59" s="35" t="s">
        <v>11</v>
      </c>
      <c r="E59" s="35" t="s">
        <v>13</v>
      </c>
      <c r="F59" s="35"/>
      <c r="G59" s="87" t="s">
        <v>23</v>
      </c>
      <c r="H59" s="35" t="s">
        <v>38</v>
      </c>
      <c r="I59" s="35"/>
      <c r="L59" s="12"/>
      <c r="M59" s="12"/>
      <c r="N59" s="12"/>
      <c r="O59" s="12"/>
      <c r="P59" s="12"/>
      <c r="Q59" s="12"/>
    </row>
    <row r="60" spans="1:21" s="8" customFormat="1" ht="15.5" customHeight="1" x14ac:dyDescent="0.2">
      <c r="A60" s="35" t="s">
        <v>83</v>
      </c>
      <c r="B60" s="42">
        <v>-4.5</v>
      </c>
      <c r="C60" s="35" t="s">
        <v>83</v>
      </c>
      <c r="D60" s="35" t="s">
        <v>11</v>
      </c>
      <c r="E60" s="35" t="s">
        <v>13</v>
      </c>
      <c r="F60" s="35"/>
      <c r="G60" s="35" t="s">
        <v>23</v>
      </c>
      <c r="H60" s="87" t="s">
        <v>38</v>
      </c>
      <c r="I60" s="35"/>
      <c r="L60" s="12"/>
      <c r="M60" s="12"/>
      <c r="N60" s="12"/>
      <c r="O60" s="12"/>
      <c r="P60" s="12"/>
      <c r="Q60" s="12"/>
    </row>
    <row r="61" spans="1:21" s="8" customFormat="1" ht="15.5" customHeight="1" x14ac:dyDescent="0.2">
      <c r="A61" s="35" t="s">
        <v>84</v>
      </c>
      <c r="B61" s="42">
        <v>-16</v>
      </c>
      <c r="C61" s="35" t="s">
        <v>84</v>
      </c>
      <c r="D61" s="35" t="s">
        <v>41</v>
      </c>
      <c r="E61" s="35" t="s">
        <v>13</v>
      </c>
      <c r="F61" s="35"/>
      <c r="G61" s="35" t="s">
        <v>23</v>
      </c>
      <c r="H61" s="35" t="s">
        <v>38</v>
      </c>
      <c r="I61" s="35"/>
      <c r="L61" s="12"/>
      <c r="M61" s="12"/>
      <c r="N61" s="12"/>
      <c r="O61" s="12"/>
      <c r="P61" s="12"/>
      <c r="Q61" s="12"/>
    </row>
    <row r="62" spans="1:21" s="8" customFormat="1" ht="15.5" customHeight="1" x14ac:dyDescent="0.2">
      <c r="A62" s="35" t="s">
        <v>85</v>
      </c>
      <c r="B62" s="42">
        <v>-4.8</v>
      </c>
      <c r="C62" s="35" t="s">
        <v>85</v>
      </c>
      <c r="D62" s="35" t="s">
        <v>41</v>
      </c>
      <c r="E62" s="35" t="s">
        <v>13</v>
      </c>
      <c r="F62" s="35"/>
      <c r="G62" s="35" t="s">
        <v>23</v>
      </c>
      <c r="H62" s="35" t="s">
        <v>38</v>
      </c>
      <c r="I62" s="35"/>
      <c r="L62" s="12"/>
      <c r="M62" s="12"/>
      <c r="N62" s="12"/>
      <c r="O62" s="12"/>
      <c r="P62" s="12"/>
      <c r="Q62" s="12"/>
    </row>
    <row r="63" spans="1:21" s="8" customFormat="1" ht="15" customHeight="1" x14ac:dyDescent="0.2">
      <c r="B63" s="9"/>
      <c r="L63" s="9"/>
      <c r="M63" s="9"/>
      <c r="N63" s="9"/>
      <c r="O63" s="9"/>
      <c r="P63" s="9"/>
      <c r="Q63" s="9"/>
    </row>
    <row r="64" spans="1:21" s="8" customFormat="1" ht="15.5" customHeight="1" x14ac:dyDescent="0.2">
      <c r="A64" s="33" t="s">
        <v>3</v>
      </c>
      <c r="B64" s="76" t="s">
        <v>25</v>
      </c>
      <c r="C64" s="35"/>
      <c r="D64" s="35"/>
      <c r="E64" s="35"/>
      <c r="F64" s="35"/>
      <c r="G64" s="35"/>
      <c r="H64" s="35"/>
      <c r="I64" s="35"/>
      <c r="L64" s="13"/>
      <c r="M64" s="14"/>
      <c r="N64" s="9"/>
      <c r="O64" s="9"/>
      <c r="P64" s="9"/>
      <c r="Q64" s="9"/>
    </row>
    <row r="65" spans="1:21" s="8" customFormat="1" ht="15" customHeight="1" x14ac:dyDescent="0.2">
      <c r="A65" s="36" t="s">
        <v>5</v>
      </c>
      <c r="B65" s="73">
        <v>1</v>
      </c>
      <c r="C65" s="35"/>
      <c r="D65" s="35"/>
      <c r="E65" s="35"/>
      <c r="F65" s="35"/>
      <c r="G65" s="35"/>
      <c r="H65" s="35"/>
      <c r="I65" s="35"/>
      <c r="L65" s="15"/>
      <c r="M65" s="14"/>
      <c r="N65" s="9"/>
      <c r="O65" s="9"/>
      <c r="P65" s="9"/>
      <c r="Q65" s="9"/>
    </row>
    <row r="66" spans="1:21" s="8" customFormat="1" ht="15" customHeight="1" x14ac:dyDescent="0.2">
      <c r="A66" s="36" t="s">
        <v>6</v>
      </c>
      <c r="B66" s="73" t="s">
        <v>86</v>
      </c>
      <c r="C66" s="35"/>
      <c r="D66" s="35"/>
      <c r="E66" s="35"/>
      <c r="F66" s="35"/>
      <c r="G66" s="35"/>
      <c r="H66" s="35"/>
      <c r="I66" s="35"/>
      <c r="L66" s="9"/>
      <c r="M66" s="14"/>
      <c r="N66" s="9"/>
      <c r="O66" s="9"/>
      <c r="P66" s="9"/>
      <c r="Q66" s="9"/>
    </row>
    <row r="67" spans="1:21" s="8" customFormat="1" ht="15" customHeight="1" x14ac:dyDescent="0.2">
      <c r="A67" s="36" t="s">
        <v>8</v>
      </c>
      <c r="B67" s="42" t="s">
        <v>26</v>
      </c>
      <c r="C67" s="35"/>
      <c r="D67" s="35"/>
      <c r="E67" s="35"/>
      <c r="F67" s="35"/>
      <c r="G67" s="35"/>
      <c r="H67" s="35"/>
      <c r="I67" s="35"/>
      <c r="L67" s="9"/>
      <c r="M67" s="9"/>
      <c r="N67" s="9"/>
      <c r="O67" s="9"/>
      <c r="P67" s="9"/>
      <c r="Q67" s="9"/>
    </row>
    <row r="68" spans="1:21" s="8" customFormat="1" ht="16.25" customHeight="1" x14ac:dyDescent="0.2">
      <c r="A68" s="36" t="s">
        <v>10</v>
      </c>
      <c r="B68" s="73" t="s">
        <v>11</v>
      </c>
      <c r="C68" s="35"/>
      <c r="D68" s="35"/>
      <c r="E68" s="35"/>
      <c r="F68" s="35"/>
      <c r="G68" s="35"/>
      <c r="H68" s="35"/>
      <c r="I68" s="35"/>
      <c r="L68" s="9"/>
      <c r="M68" s="9"/>
      <c r="N68" s="9"/>
      <c r="O68" s="9"/>
      <c r="P68" s="9"/>
      <c r="Q68" s="9"/>
    </row>
    <row r="69" spans="1:21" s="8" customFormat="1" ht="15.5" customHeight="1" x14ac:dyDescent="0.2">
      <c r="A69" s="36" t="s">
        <v>12</v>
      </c>
      <c r="B69" s="42" t="s">
        <v>12</v>
      </c>
      <c r="C69" s="35"/>
      <c r="D69" s="35"/>
      <c r="E69" s="35"/>
      <c r="F69" s="35"/>
      <c r="G69" s="35"/>
      <c r="H69" s="35"/>
      <c r="I69" s="38"/>
      <c r="J69" s="10"/>
      <c r="L69" s="9"/>
      <c r="M69" s="9"/>
      <c r="N69" s="9"/>
      <c r="O69" s="9"/>
      <c r="P69" s="9"/>
      <c r="Q69" s="9"/>
    </row>
    <row r="70" spans="1:21" s="8" customFormat="1" ht="15.5" customHeight="1" x14ac:dyDescent="0.2">
      <c r="A70" s="38" t="s">
        <v>14</v>
      </c>
      <c r="B70" s="76"/>
      <c r="C70" s="38"/>
      <c r="D70" s="38"/>
      <c r="E70" s="38"/>
      <c r="F70" s="38"/>
      <c r="G70" s="38"/>
      <c r="H70" s="38"/>
      <c r="I70" s="34"/>
      <c r="J70" s="7"/>
      <c r="L70" s="9"/>
      <c r="M70" s="9"/>
      <c r="N70" s="9"/>
      <c r="O70" s="9"/>
      <c r="P70" s="9"/>
      <c r="Q70" s="9"/>
    </row>
    <row r="71" spans="1:21" s="8" customFormat="1" ht="15.5" customHeight="1" x14ac:dyDescent="0.2">
      <c r="A71" s="38" t="s">
        <v>15</v>
      </c>
      <c r="B71" s="76" t="s">
        <v>16</v>
      </c>
      <c r="C71" s="38" t="s">
        <v>8</v>
      </c>
      <c r="D71" s="38" t="s">
        <v>10</v>
      </c>
      <c r="E71" s="38" t="s">
        <v>12</v>
      </c>
      <c r="F71" s="44" t="s">
        <v>17</v>
      </c>
      <c r="G71" s="38" t="s">
        <v>18</v>
      </c>
      <c r="H71" s="38" t="s">
        <v>19</v>
      </c>
      <c r="I71" s="44" t="s">
        <v>6</v>
      </c>
      <c r="J71" s="10"/>
      <c r="K71" s="6"/>
      <c r="L71" s="11"/>
      <c r="M71" s="11"/>
      <c r="N71" s="11"/>
      <c r="O71" s="11"/>
      <c r="P71" s="11"/>
      <c r="Q71" s="11"/>
      <c r="R71" s="6"/>
      <c r="S71" s="6"/>
      <c r="T71" s="10" t="s">
        <v>87</v>
      </c>
      <c r="U71" s="6" t="s">
        <v>88</v>
      </c>
    </row>
    <row r="72" spans="1:21" s="8" customFormat="1" ht="15" customHeight="1" x14ac:dyDescent="0.2">
      <c r="A72" s="37" t="s">
        <v>25</v>
      </c>
      <c r="B72" s="42">
        <v>1</v>
      </c>
      <c r="C72" s="35" t="s">
        <v>26</v>
      </c>
      <c r="D72" s="35" t="s">
        <v>11</v>
      </c>
      <c r="E72" s="35" t="s">
        <v>12</v>
      </c>
      <c r="F72" s="35"/>
      <c r="G72" s="35" t="s">
        <v>20</v>
      </c>
      <c r="H72" s="37" t="s">
        <v>2</v>
      </c>
      <c r="I72" s="34"/>
      <c r="J72" s="7"/>
      <c r="L72" s="9"/>
      <c r="M72" s="9"/>
      <c r="N72" s="9"/>
      <c r="O72" s="9"/>
      <c r="P72" s="9"/>
      <c r="Q72" s="15"/>
      <c r="U72" s="8" t="s">
        <v>89</v>
      </c>
    </row>
    <row r="73" spans="1:21" s="8" customFormat="1" ht="15.5" customHeight="1" x14ac:dyDescent="0.2">
      <c r="A73" s="35" t="s">
        <v>56</v>
      </c>
      <c r="B73" s="42">
        <v>100</v>
      </c>
      <c r="C73" s="35" t="s">
        <v>56</v>
      </c>
      <c r="D73" s="35" t="s">
        <v>11</v>
      </c>
      <c r="E73" s="35" t="s">
        <v>13</v>
      </c>
      <c r="F73" s="35"/>
      <c r="G73" s="35" t="s">
        <v>23</v>
      </c>
      <c r="H73" s="35" t="s">
        <v>38</v>
      </c>
      <c r="I73" s="45" t="s">
        <v>90</v>
      </c>
      <c r="L73" s="12"/>
      <c r="M73" s="12"/>
      <c r="N73" s="12"/>
      <c r="O73" s="12"/>
      <c r="P73" s="12"/>
      <c r="Q73" s="12"/>
    </row>
    <row r="74" spans="1:21" s="8" customFormat="1" ht="15.5" customHeight="1" x14ac:dyDescent="0.2">
      <c r="A74" s="35" t="s">
        <v>70</v>
      </c>
      <c r="B74" s="42">
        <v>200</v>
      </c>
      <c r="C74" s="35" t="s">
        <v>70</v>
      </c>
      <c r="D74" s="35" t="s">
        <v>64</v>
      </c>
      <c r="E74" s="35" t="s">
        <v>13</v>
      </c>
      <c r="F74" s="35"/>
      <c r="G74" s="35" t="s">
        <v>23</v>
      </c>
      <c r="H74" s="35" t="s">
        <v>38</v>
      </c>
      <c r="I74" s="45" t="s">
        <v>90</v>
      </c>
      <c r="L74" s="12"/>
      <c r="M74" s="12"/>
      <c r="N74" s="12"/>
      <c r="O74" s="12"/>
      <c r="P74" s="12"/>
      <c r="Q74" s="12"/>
    </row>
    <row r="75" spans="1:21" s="8" customFormat="1" ht="15.5" customHeight="1" x14ac:dyDescent="0.2">
      <c r="A75" s="35" t="s">
        <v>91</v>
      </c>
      <c r="B75" s="42">
        <v>600</v>
      </c>
      <c r="C75" s="35" t="s">
        <v>91</v>
      </c>
      <c r="D75" s="35" t="s">
        <v>11</v>
      </c>
      <c r="E75" s="35" t="s">
        <v>13</v>
      </c>
      <c r="F75" s="35"/>
      <c r="G75" s="35" t="s">
        <v>23</v>
      </c>
      <c r="H75" s="35" t="s">
        <v>38</v>
      </c>
      <c r="I75" s="45" t="s">
        <v>90</v>
      </c>
      <c r="L75" s="12"/>
      <c r="M75" s="12"/>
      <c r="N75" s="12"/>
      <c r="O75" s="12"/>
      <c r="P75" s="12"/>
      <c r="Q75" s="12"/>
    </row>
    <row r="76" spans="1:21" s="8" customFormat="1" ht="15.5" customHeight="1" x14ac:dyDescent="0.2">
      <c r="A76" s="35" t="s">
        <v>58</v>
      </c>
      <c r="B76" s="42">
        <v>100</v>
      </c>
      <c r="C76" s="35" t="s">
        <v>58</v>
      </c>
      <c r="D76" s="35" t="s">
        <v>11</v>
      </c>
      <c r="E76" s="35" t="s">
        <v>13</v>
      </c>
      <c r="F76" s="35"/>
      <c r="G76" s="35" t="s">
        <v>23</v>
      </c>
      <c r="H76" s="35" t="s">
        <v>38</v>
      </c>
      <c r="I76" s="45" t="s">
        <v>90</v>
      </c>
      <c r="L76" s="12"/>
      <c r="M76" s="12"/>
      <c r="N76" s="12"/>
      <c r="O76" s="12"/>
      <c r="P76" s="12"/>
      <c r="Q76" s="12"/>
    </row>
    <row r="77" spans="1:21" s="8" customFormat="1" ht="15.5" customHeight="1" x14ac:dyDescent="0.2">
      <c r="A77" s="35" t="s">
        <v>92</v>
      </c>
      <c r="B77" s="42">
        <v>600</v>
      </c>
      <c r="C77" s="35" t="s">
        <v>92</v>
      </c>
      <c r="D77" s="35" t="s">
        <v>11</v>
      </c>
      <c r="E77" s="35" t="s">
        <v>13</v>
      </c>
      <c r="F77" s="35"/>
      <c r="G77" s="35" t="s">
        <v>23</v>
      </c>
      <c r="H77" s="35" t="s">
        <v>38</v>
      </c>
      <c r="I77" s="45" t="s">
        <v>90</v>
      </c>
      <c r="L77" s="12"/>
      <c r="M77" s="12"/>
      <c r="N77" s="12"/>
      <c r="O77" s="12"/>
      <c r="P77" s="12"/>
      <c r="Q77" s="12"/>
    </row>
    <row r="78" spans="1:21" s="8" customFormat="1" ht="15.5" customHeight="1" x14ac:dyDescent="0.2">
      <c r="A78" s="35" t="s">
        <v>93</v>
      </c>
      <c r="B78" s="42">
        <v>100</v>
      </c>
      <c r="C78" s="35" t="s">
        <v>93</v>
      </c>
      <c r="D78" s="35" t="s">
        <v>94</v>
      </c>
      <c r="E78" s="35" t="s">
        <v>13</v>
      </c>
      <c r="F78" s="35"/>
      <c r="G78" s="35" t="s">
        <v>23</v>
      </c>
      <c r="H78" s="35" t="s">
        <v>38</v>
      </c>
      <c r="I78" s="45" t="s">
        <v>90</v>
      </c>
      <c r="L78" s="12"/>
      <c r="M78" s="12"/>
      <c r="N78" s="12"/>
      <c r="O78" s="12"/>
      <c r="P78" s="12"/>
      <c r="Q78" s="12"/>
    </row>
    <row r="79" spans="1:21" s="8" customFormat="1" ht="15.5" customHeight="1" x14ac:dyDescent="0.2">
      <c r="A79" s="35" t="s">
        <v>95</v>
      </c>
      <c r="B79" s="42">
        <v>200</v>
      </c>
      <c r="C79" s="35" t="s">
        <v>95</v>
      </c>
      <c r="D79" s="35" t="s">
        <v>11</v>
      </c>
      <c r="E79" s="35" t="s">
        <v>13</v>
      </c>
      <c r="F79" s="35"/>
      <c r="G79" s="35" t="s">
        <v>23</v>
      </c>
      <c r="H79" s="35" t="s">
        <v>38</v>
      </c>
      <c r="I79" s="45" t="s">
        <v>90</v>
      </c>
      <c r="L79" s="12"/>
      <c r="M79" s="12"/>
      <c r="N79" s="12"/>
      <c r="O79" s="12"/>
      <c r="P79" s="12"/>
      <c r="Q79" s="12"/>
    </row>
    <row r="80" spans="1:21" s="8" customFormat="1" ht="15.5" customHeight="1" x14ac:dyDescent="0.2">
      <c r="A80" s="35" t="s">
        <v>96</v>
      </c>
      <c r="B80" s="42">
        <v>100</v>
      </c>
      <c r="C80" s="35" t="s">
        <v>96</v>
      </c>
      <c r="D80" s="35" t="s">
        <v>11</v>
      </c>
      <c r="E80" s="35" t="s">
        <v>13</v>
      </c>
      <c r="F80" s="35"/>
      <c r="G80" s="35" t="s">
        <v>23</v>
      </c>
      <c r="H80" s="35" t="s">
        <v>38</v>
      </c>
      <c r="I80" s="34" t="s">
        <v>97</v>
      </c>
      <c r="L80" s="12"/>
      <c r="M80" s="12"/>
      <c r="N80" s="12"/>
      <c r="O80" s="12"/>
      <c r="P80" s="12"/>
      <c r="Q80" s="12"/>
    </row>
    <row r="81" spans="1:17" s="8" customFormat="1" ht="15.5" customHeight="1" x14ac:dyDescent="0.2">
      <c r="A81" s="35" t="s">
        <v>98</v>
      </c>
      <c r="B81" s="42">
        <v>900</v>
      </c>
      <c r="C81" s="35" t="s">
        <v>98</v>
      </c>
      <c r="D81" s="35" t="s">
        <v>11</v>
      </c>
      <c r="E81" s="35" t="s">
        <v>13</v>
      </c>
      <c r="F81" s="35"/>
      <c r="G81" s="35" t="s">
        <v>23</v>
      </c>
      <c r="H81" s="35" t="s">
        <v>38</v>
      </c>
      <c r="I81" s="34" t="s">
        <v>99</v>
      </c>
      <c r="L81" s="12"/>
      <c r="M81" s="12"/>
      <c r="N81" s="12"/>
      <c r="O81" s="12"/>
      <c r="P81" s="12"/>
      <c r="Q81" s="12"/>
    </row>
    <row r="82" spans="1:17" s="8" customFormat="1" ht="15.5" customHeight="1" x14ac:dyDescent="0.2">
      <c r="A82" s="35" t="s">
        <v>92</v>
      </c>
      <c r="B82" s="42">
        <v>900</v>
      </c>
      <c r="C82" s="35" t="s">
        <v>92</v>
      </c>
      <c r="D82" s="35" t="s">
        <v>11</v>
      </c>
      <c r="E82" s="35" t="s">
        <v>13</v>
      </c>
      <c r="F82" s="35"/>
      <c r="G82" s="35" t="s">
        <v>23</v>
      </c>
      <c r="H82" s="35" t="s">
        <v>38</v>
      </c>
      <c r="I82" s="34" t="s">
        <v>99</v>
      </c>
      <c r="L82" s="12"/>
      <c r="M82" s="12"/>
      <c r="N82" s="12"/>
      <c r="O82" s="12"/>
      <c r="P82" s="12"/>
      <c r="Q82" s="12"/>
    </row>
    <row r="83" spans="1:17" s="8" customFormat="1" ht="15.5" customHeight="1" x14ac:dyDescent="0.2">
      <c r="A83" s="35" t="s">
        <v>73</v>
      </c>
      <c r="B83" s="42">
        <v>750</v>
      </c>
      <c r="C83" s="35" t="s">
        <v>73</v>
      </c>
      <c r="D83" s="35" t="s">
        <v>11</v>
      </c>
      <c r="E83" s="35" t="s">
        <v>13</v>
      </c>
      <c r="F83" s="35"/>
      <c r="G83" s="35" t="s">
        <v>23</v>
      </c>
      <c r="H83" s="35" t="s">
        <v>38</v>
      </c>
      <c r="I83" s="34" t="s">
        <v>100</v>
      </c>
      <c r="L83" s="12"/>
      <c r="M83" s="12"/>
      <c r="N83" s="12"/>
      <c r="O83" s="12"/>
      <c r="P83" s="12"/>
      <c r="Q83" s="12"/>
    </row>
    <row r="84" spans="1:17" s="8" customFormat="1" ht="15.5" customHeight="1" x14ac:dyDescent="0.2">
      <c r="A84" s="35" t="s">
        <v>75</v>
      </c>
      <c r="B84" s="42">
        <v>750</v>
      </c>
      <c r="C84" s="35" t="s">
        <v>75</v>
      </c>
      <c r="D84" s="35" t="s">
        <v>11</v>
      </c>
      <c r="E84" s="35" t="s">
        <v>13</v>
      </c>
      <c r="F84" s="35"/>
      <c r="G84" s="35" t="s">
        <v>23</v>
      </c>
      <c r="H84" s="35" t="s">
        <v>38</v>
      </c>
      <c r="I84" s="34" t="s">
        <v>100</v>
      </c>
      <c r="L84" s="12"/>
      <c r="M84" s="12"/>
      <c r="N84" s="12"/>
      <c r="O84" s="12"/>
      <c r="P84" s="12"/>
      <c r="Q84" s="12"/>
    </row>
    <row r="85" spans="1:17" s="8" customFormat="1" ht="15.5" customHeight="1" x14ac:dyDescent="0.2">
      <c r="A85" s="35" t="s">
        <v>56</v>
      </c>
      <c r="B85" s="42">
        <v>100</v>
      </c>
      <c r="C85" s="35" t="s">
        <v>56</v>
      </c>
      <c r="D85" s="35" t="s">
        <v>11</v>
      </c>
      <c r="E85" s="35" t="s">
        <v>13</v>
      </c>
      <c r="F85" s="35"/>
      <c r="G85" s="35" t="s">
        <v>23</v>
      </c>
      <c r="H85" s="35" t="s">
        <v>38</v>
      </c>
      <c r="I85" s="34" t="s">
        <v>101</v>
      </c>
      <c r="L85" s="12"/>
      <c r="M85" s="12"/>
      <c r="N85" s="12"/>
      <c r="O85" s="12"/>
      <c r="P85" s="12"/>
      <c r="Q85" s="12"/>
    </row>
    <row r="86" spans="1:17" s="8" customFormat="1" ht="15.5" customHeight="1" x14ac:dyDescent="0.2">
      <c r="A86" s="35" t="s">
        <v>58</v>
      </c>
      <c r="B86" s="42">
        <v>100</v>
      </c>
      <c r="C86" s="35" t="s">
        <v>58</v>
      </c>
      <c r="D86" s="35" t="s">
        <v>11</v>
      </c>
      <c r="E86" s="35" t="s">
        <v>13</v>
      </c>
      <c r="F86" s="35"/>
      <c r="G86" s="35" t="s">
        <v>23</v>
      </c>
      <c r="H86" s="35" t="s">
        <v>38</v>
      </c>
      <c r="I86" s="34" t="s">
        <v>101</v>
      </c>
      <c r="L86" s="12"/>
      <c r="M86" s="12"/>
      <c r="N86" s="12"/>
      <c r="O86" s="12"/>
      <c r="P86" s="12"/>
      <c r="Q86" s="12"/>
    </row>
    <row r="87" spans="1:17" s="8" customFormat="1" ht="15.5" customHeight="1" x14ac:dyDescent="0.2">
      <c r="A87" s="35" t="s">
        <v>70</v>
      </c>
      <c r="B87" s="42">
        <v>100</v>
      </c>
      <c r="C87" s="35" t="s">
        <v>70</v>
      </c>
      <c r="D87" s="35" t="s">
        <v>64</v>
      </c>
      <c r="E87" s="35" t="s">
        <v>13</v>
      </c>
      <c r="F87" s="35"/>
      <c r="G87" s="35" t="s">
        <v>23</v>
      </c>
      <c r="H87" s="35" t="s">
        <v>38</v>
      </c>
      <c r="I87" s="34" t="s">
        <v>102</v>
      </c>
      <c r="L87" s="12"/>
      <c r="M87" s="12"/>
      <c r="N87" s="12"/>
      <c r="O87" s="12"/>
      <c r="P87" s="12"/>
      <c r="Q87" s="12"/>
    </row>
    <row r="88" spans="1:17" s="8" customFormat="1" ht="15.5" customHeight="1" x14ac:dyDescent="0.2">
      <c r="A88" s="35" t="s">
        <v>72</v>
      </c>
      <c r="B88" s="42">
        <v>100</v>
      </c>
      <c r="C88" s="35" t="s">
        <v>72</v>
      </c>
      <c r="D88" s="35" t="s">
        <v>11</v>
      </c>
      <c r="E88" s="35" t="s">
        <v>13</v>
      </c>
      <c r="F88" s="35"/>
      <c r="G88" s="35" t="s">
        <v>23</v>
      </c>
      <c r="H88" s="35" t="s">
        <v>38</v>
      </c>
      <c r="I88" s="34" t="s">
        <v>102</v>
      </c>
      <c r="L88" s="12"/>
      <c r="M88" s="12"/>
      <c r="N88" s="12"/>
      <c r="O88" s="12"/>
      <c r="P88" s="12"/>
      <c r="Q88" s="12"/>
    </row>
    <row r="89" spans="1:17" s="8" customFormat="1" ht="15.5" customHeight="1" x14ac:dyDescent="0.2">
      <c r="A89" s="35" t="s">
        <v>103</v>
      </c>
      <c r="B89" s="42">
        <v>300</v>
      </c>
      <c r="C89" s="35" t="s">
        <v>103</v>
      </c>
      <c r="D89" s="35" t="s">
        <v>11</v>
      </c>
      <c r="E89" s="35" t="s">
        <v>13</v>
      </c>
      <c r="F89" s="35"/>
      <c r="G89" s="35" t="s">
        <v>23</v>
      </c>
      <c r="H89" s="35" t="s">
        <v>38</v>
      </c>
      <c r="I89" s="34" t="s">
        <v>104</v>
      </c>
      <c r="L89" s="12"/>
      <c r="M89" s="12"/>
      <c r="N89" s="12"/>
      <c r="O89" s="12"/>
      <c r="P89" s="12"/>
      <c r="Q89" s="12"/>
    </row>
    <row r="90" spans="1:17" s="8" customFormat="1" ht="15.5" customHeight="1" x14ac:dyDescent="0.2">
      <c r="A90" s="35" t="s">
        <v>105</v>
      </c>
      <c r="B90" s="42">
        <v>300</v>
      </c>
      <c r="C90" s="35" t="s">
        <v>105</v>
      </c>
      <c r="D90" s="35" t="s">
        <v>11</v>
      </c>
      <c r="E90" s="35" t="s">
        <v>13</v>
      </c>
      <c r="F90" s="35"/>
      <c r="G90" s="35" t="s">
        <v>23</v>
      </c>
      <c r="H90" s="35" t="s">
        <v>38</v>
      </c>
      <c r="I90" s="34" t="s">
        <v>104</v>
      </c>
      <c r="L90" s="12"/>
      <c r="M90" s="12"/>
      <c r="N90" s="12"/>
      <c r="O90" s="12"/>
      <c r="P90" s="12"/>
      <c r="Q90" s="12"/>
    </row>
    <row r="91" spans="1:17" s="8" customFormat="1" ht="15.5" customHeight="1" x14ac:dyDescent="0.2">
      <c r="A91" s="35" t="s">
        <v>106</v>
      </c>
      <c r="B91" s="42">
        <v>100</v>
      </c>
      <c r="C91" s="35" t="s">
        <v>106</v>
      </c>
      <c r="D91" s="35" t="s">
        <v>11</v>
      </c>
      <c r="E91" s="35" t="s">
        <v>13</v>
      </c>
      <c r="F91" s="35"/>
      <c r="G91" s="35" t="s">
        <v>23</v>
      </c>
      <c r="H91" s="35" t="s">
        <v>38</v>
      </c>
      <c r="I91" s="34" t="s">
        <v>107</v>
      </c>
      <c r="L91" s="12"/>
      <c r="M91" s="12"/>
      <c r="N91" s="12"/>
      <c r="O91" s="12"/>
      <c r="P91" s="12"/>
      <c r="Q91" s="12"/>
    </row>
    <row r="92" spans="1:17" s="8" customFormat="1" ht="15.5" customHeight="1" x14ac:dyDescent="0.2">
      <c r="A92" s="35" t="s">
        <v>108</v>
      </c>
      <c r="B92" s="42">
        <v>100</v>
      </c>
      <c r="C92" s="35" t="s">
        <v>108</v>
      </c>
      <c r="D92" s="35" t="s">
        <v>11</v>
      </c>
      <c r="E92" s="35" t="s">
        <v>13</v>
      </c>
      <c r="F92" s="35"/>
      <c r="G92" s="35" t="s">
        <v>23</v>
      </c>
      <c r="H92" s="35" t="s">
        <v>38</v>
      </c>
      <c r="I92" s="34" t="s">
        <v>109</v>
      </c>
      <c r="L92" s="12"/>
      <c r="M92" s="12"/>
      <c r="N92" s="12"/>
      <c r="O92" s="12"/>
      <c r="P92" s="12"/>
      <c r="Q92" s="12"/>
    </row>
    <row r="93" spans="1:17" s="8" customFormat="1" ht="15.5" customHeight="1" x14ac:dyDescent="0.2">
      <c r="A93" s="35" t="s">
        <v>73</v>
      </c>
      <c r="B93" s="42">
        <v>1161</v>
      </c>
      <c r="C93" s="35" t="s">
        <v>73</v>
      </c>
      <c r="D93" s="35" t="s">
        <v>11</v>
      </c>
      <c r="E93" s="35" t="s">
        <v>13</v>
      </c>
      <c r="F93" s="35"/>
      <c r="G93" s="35" t="s">
        <v>23</v>
      </c>
      <c r="H93" s="35" t="s">
        <v>38</v>
      </c>
      <c r="I93" s="34" t="s">
        <v>110</v>
      </c>
      <c r="L93" s="12"/>
      <c r="M93" s="12"/>
      <c r="N93" s="12"/>
      <c r="O93" s="12"/>
      <c r="P93" s="12"/>
      <c r="Q93" s="12"/>
    </row>
    <row r="94" spans="1:17" s="8" customFormat="1" ht="15.5" customHeight="1" x14ac:dyDescent="0.2">
      <c r="A94" s="35" t="s">
        <v>75</v>
      </c>
      <c r="B94" s="42">
        <v>1161</v>
      </c>
      <c r="C94" s="35" t="s">
        <v>75</v>
      </c>
      <c r="D94" s="35" t="s">
        <v>11</v>
      </c>
      <c r="E94" s="35" t="s">
        <v>13</v>
      </c>
      <c r="F94" s="35"/>
      <c r="G94" s="35" t="s">
        <v>23</v>
      </c>
      <c r="H94" s="35" t="s">
        <v>38</v>
      </c>
      <c r="I94" s="34" t="s">
        <v>110</v>
      </c>
      <c r="L94" s="12"/>
      <c r="M94" s="12"/>
      <c r="N94" s="12"/>
      <c r="O94" s="12"/>
      <c r="P94" s="12"/>
      <c r="Q94" s="12"/>
    </row>
    <row r="95" spans="1:17" s="8" customFormat="1" ht="15.5" customHeight="1" x14ac:dyDescent="0.2">
      <c r="A95" s="35" t="s">
        <v>111</v>
      </c>
      <c r="B95" s="42">
        <v>464.6</v>
      </c>
      <c r="C95" s="35" t="s">
        <v>111</v>
      </c>
      <c r="D95" s="35" t="s">
        <v>11</v>
      </c>
      <c r="E95" s="35" t="s">
        <v>13</v>
      </c>
      <c r="F95" s="35"/>
      <c r="G95" s="35" t="s">
        <v>23</v>
      </c>
      <c r="H95" s="35" t="s">
        <v>38</v>
      </c>
      <c r="I95" s="34" t="s">
        <v>112</v>
      </c>
      <c r="L95" s="12"/>
      <c r="M95" s="12"/>
      <c r="N95" s="12"/>
      <c r="O95" s="12"/>
      <c r="P95" s="12"/>
      <c r="Q95" s="12"/>
    </row>
    <row r="96" spans="1:17" s="8" customFormat="1" ht="15.5" customHeight="1" x14ac:dyDescent="0.2">
      <c r="A96" s="35" t="s">
        <v>113</v>
      </c>
      <c r="B96" s="42">
        <v>464.6</v>
      </c>
      <c r="C96" s="35" t="s">
        <v>113</v>
      </c>
      <c r="D96" s="35" t="s">
        <v>11</v>
      </c>
      <c r="E96" s="35" t="s">
        <v>13</v>
      </c>
      <c r="F96" s="35"/>
      <c r="G96" s="35" t="s">
        <v>23</v>
      </c>
      <c r="H96" s="35" t="s">
        <v>38</v>
      </c>
      <c r="I96" s="34" t="s">
        <v>112</v>
      </c>
      <c r="L96" s="12"/>
      <c r="M96" s="12"/>
      <c r="N96" s="12"/>
      <c r="O96" s="12"/>
      <c r="P96" s="12"/>
      <c r="Q96" s="12"/>
    </row>
    <row r="97" spans="1:17" s="8" customFormat="1" ht="15.5" customHeight="1" x14ac:dyDescent="0.2">
      <c r="A97" s="35" t="s">
        <v>91</v>
      </c>
      <c r="B97" s="42">
        <v>232.3</v>
      </c>
      <c r="C97" s="35" t="s">
        <v>91</v>
      </c>
      <c r="D97" s="35" t="s">
        <v>11</v>
      </c>
      <c r="E97" s="35" t="s">
        <v>13</v>
      </c>
      <c r="F97" s="35"/>
      <c r="G97" s="35" t="s">
        <v>23</v>
      </c>
      <c r="H97" s="35" t="s">
        <v>38</v>
      </c>
      <c r="I97" s="34" t="s">
        <v>112</v>
      </c>
      <c r="L97" s="12"/>
      <c r="M97" s="12"/>
      <c r="N97" s="12"/>
      <c r="O97" s="12"/>
      <c r="P97" s="12"/>
      <c r="Q97" s="12"/>
    </row>
    <row r="98" spans="1:17" s="8" customFormat="1" ht="15.5" customHeight="1" x14ac:dyDescent="0.2">
      <c r="A98" s="35" t="s">
        <v>92</v>
      </c>
      <c r="B98" s="42">
        <v>232.3</v>
      </c>
      <c r="C98" s="35" t="s">
        <v>92</v>
      </c>
      <c r="D98" s="35" t="s">
        <v>11</v>
      </c>
      <c r="E98" s="35" t="s">
        <v>13</v>
      </c>
      <c r="F98" s="35"/>
      <c r="G98" s="35" t="s">
        <v>23</v>
      </c>
      <c r="H98" s="35" t="s">
        <v>38</v>
      </c>
      <c r="I98" s="34" t="s">
        <v>112</v>
      </c>
      <c r="L98" s="12"/>
      <c r="M98" s="12"/>
      <c r="N98" s="12"/>
      <c r="O98" s="12"/>
      <c r="P98" s="12"/>
      <c r="Q98" s="12"/>
    </row>
    <row r="99" spans="1:17" s="8" customFormat="1" ht="15.5" customHeight="1" x14ac:dyDescent="0.2">
      <c r="A99" s="35" t="s">
        <v>56</v>
      </c>
      <c r="B99" s="42">
        <v>60</v>
      </c>
      <c r="C99" s="35" t="s">
        <v>56</v>
      </c>
      <c r="D99" s="35" t="s">
        <v>11</v>
      </c>
      <c r="E99" s="35" t="s">
        <v>13</v>
      </c>
      <c r="F99" s="35"/>
      <c r="G99" s="35" t="s">
        <v>23</v>
      </c>
      <c r="H99" s="35" t="s">
        <v>38</v>
      </c>
      <c r="I99" s="34" t="s">
        <v>114</v>
      </c>
      <c r="L99" s="12"/>
      <c r="M99" s="12"/>
      <c r="N99" s="12"/>
      <c r="O99" s="12"/>
      <c r="P99" s="12"/>
      <c r="Q99" s="12"/>
    </row>
    <row r="100" spans="1:17" s="8" customFormat="1" ht="15.5" customHeight="1" x14ac:dyDescent="0.2">
      <c r="A100" s="35" t="s">
        <v>70</v>
      </c>
      <c r="B100" s="42">
        <v>45</v>
      </c>
      <c r="C100" s="35" t="s">
        <v>70</v>
      </c>
      <c r="D100" s="35" t="s">
        <v>64</v>
      </c>
      <c r="E100" s="35" t="s">
        <v>13</v>
      </c>
      <c r="F100" s="35"/>
      <c r="G100" s="35" t="s">
        <v>23</v>
      </c>
      <c r="H100" s="35" t="s">
        <v>38</v>
      </c>
      <c r="I100" s="34" t="s">
        <v>114</v>
      </c>
      <c r="L100" s="12"/>
      <c r="M100" s="12"/>
      <c r="N100" s="12"/>
      <c r="O100" s="12"/>
      <c r="P100" s="12"/>
      <c r="Q100" s="12"/>
    </row>
    <row r="101" spans="1:17" s="8" customFormat="1" ht="15.5" customHeight="1" x14ac:dyDescent="0.2">
      <c r="A101" s="35" t="s">
        <v>91</v>
      </c>
      <c r="B101" s="42">
        <v>180</v>
      </c>
      <c r="C101" s="35" t="s">
        <v>91</v>
      </c>
      <c r="D101" s="35" t="s">
        <v>11</v>
      </c>
      <c r="E101" s="35" t="s">
        <v>13</v>
      </c>
      <c r="F101" s="35"/>
      <c r="G101" s="35" t="s">
        <v>23</v>
      </c>
      <c r="H101" s="35" t="s">
        <v>38</v>
      </c>
      <c r="I101" s="34" t="s">
        <v>114</v>
      </c>
      <c r="L101" s="12"/>
      <c r="M101" s="12"/>
      <c r="N101" s="12"/>
      <c r="O101" s="12"/>
      <c r="P101" s="12"/>
      <c r="Q101" s="12"/>
    </row>
    <row r="102" spans="1:17" s="8" customFormat="1" ht="15.5" customHeight="1" x14ac:dyDescent="0.2">
      <c r="A102" s="35" t="s">
        <v>93</v>
      </c>
      <c r="B102" s="42">
        <v>15</v>
      </c>
      <c r="C102" s="35" t="s">
        <v>93</v>
      </c>
      <c r="D102" s="35" t="s">
        <v>94</v>
      </c>
      <c r="E102" s="35" t="s">
        <v>13</v>
      </c>
      <c r="F102" s="35"/>
      <c r="G102" s="35" t="s">
        <v>23</v>
      </c>
      <c r="H102" s="35" t="s">
        <v>38</v>
      </c>
      <c r="I102" s="34" t="s">
        <v>114</v>
      </c>
      <c r="L102" s="12"/>
      <c r="M102" s="12"/>
      <c r="N102" s="12"/>
      <c r="O102" s="12"/>
      <c r="P102" s="12"/>
      <c r="Q102" s="12"/>
    </row>
    <row r="103" spans="1:17" s="8" customFormat="1" ht="15.5" customHeight="1" x14ac:dyDescent="0.2">
      <c r="A103" s="35" t="s">
        <v>95</v>
      </c>
      <c r="B103" s="42">
        <v>45</v>
      </c>
      <c r="C103" s="35" t="s">
        <v>95</v>
      </c>
      <c r="D103" s="35" t="s">
        <v>11</v>
      </c>
      <c r="E103" s="35" t="s">
        <v>13</v>
      </c>
      <c r="F103" s="35"/>
      <c r="G103" s="35" t="s">
        <v>23</v>
      </c>
      <c r="H103" s="35" t="s">
        <v>38</v>
      </c>
      <c r="I103" s="34" t="s">
        <v>114</v>
      </c>
      <c r="L103" s="12"/>
      <c r="M103" s="12"/>
      <c r="N103" s="12"/>
      <c r="O103" s="12"/>
      <c r="P103" s="12"/>
      <c r="Q103" s="12"/>
    </row>
    <row r="104" spans="1:17" s="8" customFormat="1" ht="15.5" customHeight="1" x14ac:dyDescent="0.2">
      <c r="A104" s="35" t="s">
        <v>115</v>
      </c>
      <c r="B104" s="42">
        <v>600</v>
      </c>
      <c r="C104" s="35" t="s">
        <v>115</v>
      </c>
      <c r="D104" s="35" t="s">
        <v>11</v>
      </c>
      <c r="E104" s="35" t="s">
        <v>13</v>
      </c>
      <c r="F104" s="35"/>
      <c r="G104" s="35" t="s">
        <v>23</v>
      </c>
      <c r="H104" s="35" t="s">
        <v>38</v>
      </c>
      <c r="I104" s="34" t="s">
        <v>116</v>
      </c>
      <c r="L104" s="12"/>
      <c r="M104" s="12"/>
      <c r="N104" s="12"/>
      <c r="O104" s="12"/>
      <c r="P104" s="12"/>
      <c r="Q104" s="12"/>
    </row>
    <row r="105" spans="1:17" s="8" customFormat="1" ht="15.5" customHeight="1" x14ac:dyDescent="0.2">
      <c r="A105" s="35" t="s">
        <v>117</v>
      </c>
      <c r="B105" s="42">
        <v>7</v>
      </c>
      <c r="C105" s="35" t="s">
        <v>117</v>
      </c>
      <c r="D105" s="35" t="s">
        <v>11</v>
      </c>
      <c r="E105" s="35" t="s">
        <v>13</v>
      </c>
      <c r="F105" s="35"/>
      <c r="G105" s="35" t="s">
        <v>23</v>
      </c>
      <c r="H105" s="35" t="s">
        <v>38</v>
      </c>
      <c r="I105" s="34" t="s">
        <v>116</v>
      </c>
      <c r="L105" s="12"/>
      <c r="M105" s="12"/>
      <c r="N105" s="12"/>
      <c r="O105" s="12"/>
      <c r="P105" s="12"/>
      <c r="Q105" s="12"/>
    </row>
    <row r="106" spans="1:17" s="8" customFormat="1" ht="15.5" customHeight="1" x14ac:dyDescent="0.2">
      <c r="A106" s="35" t="s">
        <v>91</v>
      </c>
      <c r="B106" s="42">
        <v>1300</v>
      </c>
      <c r="C106" s="35" t="s">
        <v>91</v>
      </c>
      <c r="D106" s="35" t="s">
        <v>11</v>
      </c>
      <c r="E106" s="35" t="s">
        <v>13</v>
      </c>
      <c r="F106" s="35"/>
      <c r="G106" s="35" t="s">
        <v>23</v>
      </c>
      <c r="H106" s="35" t="s">
        <v>38</v>
      </c>
      <c r="I106" s="34" t="s">
        <v>116</v>
      </c>
      <c r="L106" s="12"/>
      <c r="M106" s="12"/>
      <c r="N106" s="12"/>
      <c r="O106" s="12"/>
      <c r="P106" s="12"/>
      <c r="Q106" s="12"/>
    </row>
    <row r="107" spans="1:17" s="8" customFormat="1" ht="15.5" customHeight="1" x14ac:dyDescent="0.2">
      <c r="A107" s="35" t="s">
        <v>73</v>
      </c>
      <c r="B107" s="42">
        <v>405</v>
      </c>
      <c r="C107" s="35" t="s">
        <v>73</v>
      </c>
      <c r="D107" s="35" t="s">
        <v>11</v>
      </c>
      <c r="E107" s="35" t="s">
        <v>13</v>
      </c>
      <c r="F107" s="35"/>
      <c r="G107" s="35" t="s">
        <v>23</v>
      </c>
      <c r="H107" s="35" t="s">
        <v>38</v>
      </c>
      <c r="I107" s="34" t="s">
        <v>116</v>
      </c>
      <c r="L107" s="12"/>
      <c r="M107" s="12"/>
      <c r="N107" s="12"/>
      <c r="O107" s="12"/>
      <c r="P107" s="12"/>
      <c r="Q107" s="12"/>
    </row>
    <row r="108" spans="1:17" s="8" customFormat="1" ht="15.5" customHeight="1" x14ac:dyDescent="0.2">
      <c r="A108" s="35" t="s">
        <v>92</v>
      </c>
      <c r="B108" s="42">
        <v>400</v>
      </c>
      <c r="C108" s="35" t="s">
        <v>92</v>
      </c>
      <c r="D108" s="35" t="s">
        <v>11</v>
      </c>
      <c r="E108" s="35" t="s">
        <v>13</v>
      </c>
      <c r="F108" s="35"/>
      <c r="G108" s="35" t="s">
        <v>23</v>
      </c>
      <c r="H108" s="35" t="s">
        <v>38</v>
      </c>
      <c r="I108" s="34" t="s">
        <v>116</v>
      </c>
      <c r="L108" s="12"/>
      <c r="M108" s="12"/>
      <c r="N108" s="12"/>
      <c r="O108" s="12"/>
      <c r="P108" s="12"/>
      <c r="Q108" s="12"/>
    </row>
    <row r="109" spans="1:17" s="8" customFormat="1" ht="15.5" customHeight="1" x14ac:dyDescent="0.2">
      <c r="A109" s="35" t="s">
        <v>75</v>
      </c>
      <c r="B109" s="42">
        <v>405</v>
      </c>
      <c r="C109" s="35" t="s">
        <v>75</v>
      </c>
      <c r="D109" s="35" t="s">
        <v>11</v>
      </c>
      <c r="E109" s="35" t="s">
        <v>13</v>
      </c>
      <c r="F109" s="35"/>
      <c r="G109" s="35" t="s">
        <v>23</v>
      </c>
      <c r="H109" s="35" t="s">
        <v>38</v>
      </c>
      <c r="I109" s="34" t="s">
        <v>116</v>
      </c>
      <c r="L109" s="12"/>
      <c r="M109" s="12"/>
      <c r="N109" s="12"/>
      <c r="O109" s="12"/>
      <c r="P109" s="12"/>
      <c r="Q109" s="12"/>
    </row>
    <row r="110" spans="1:17" s="8" customFormat="1" ht="15.5" customHeight="1" x14ac:dyDescent="0.2">
      <c r="A110" s="35" t="s">
        <v>91</v>
      </c>
      <c r="B110" s="42">
        <v>1000</v>
      </c>
      <c r="C110" s="35" t="s">
        <v>91</v>
      </c>
      <c r="D110" s="35" t="s">
        <v>11</v>
      </c>
      <c r="E110" s="35" t="s">
        <v>13</v>
      </c>
      <c r="F110" s="35"/>
      <c r="G110" s="35" t="s">
        <v>23</v>
      </c>
      <c r="H110" s="35" t="s">
        <v>38</v>
      </c>
      <c r="I110" s="34" t="s">
        <v>118</v>
      </c>
      <c r="L110" s="12"/>
      <c r="M110" s="12"/>
      <c r="N110" s="12"/>
      <c r="O110" s="12"/>
      <c r="P110" s="12"/>
      <c r="Q110" s="12"/>
    </row>
    <row r="111" spans="1:17" s="8" customFormat="1" ht="15.5" customHeight="1" x14ac:dyDescent="0.2">
      <c r="A111" s="35" t="s">
        <v>73</v>
      </c>
      <c r="B111" s="42">
        <v>1500</v>
      </c>
      <c r="C111" s="35" t="s">
        <v>73</v>
      </c>
      <c r="D111" s="35" t="s">
        <v>11</v>
      </c>
      <c r="E111" s="35" t="s">
        <v>13</v>
      </c>
      <c r="F111" s="35"/>
      <c r="G111" s="35" t="s">
        <v>23</v>
      </c>
      <c r="H111" s="35" t="s">
        <v>38</v>
      </c>
      <c r="I111" s="34" t="s">
        <v>118</v>
      </c>
      <c r="L111" s="12"/>
      <c r="M111" s="12"/>
      <c r="N111" s="12"/>
      <c r="O111" s="12"/>
      <c r="P111" s="12"/>
      <c r="Q111" s="12"/>
    </row>
    <row r="112" spans="1:17" s="8" customFormat="1" ht="15.5" customHeight="1" x14ac:dyDescent="0.2">
      <c r="A112" s="35" t="s">
        <v>92</v>
      </c>
      <c r="B112" s="42">
        <v>1000</v>
      </c>
      <c r="C112" s="35" t="s">
        <v>92</v>
      </c>
      <c r="D112" s="35" t="s">
        <v>11</v>
      </c>
      <c r="E112" s="35" t="s">
        <v>13</v>
      </c>
      <c r="F112" s="35"/>
      <c r="G112" s="35" t="s">
        <v>23</v>
      </c>
      <c r="H112" s="35" t="s">
        <v>38</v>
      </c>
      <c r="I112" s="34" t="s">
        <v>118</v>
      </c>
      <c r="L112" s="12"/>
      <c r="M112" s="12"/>
      <c r="N112" s="12"/>
      <c r="O112" s="12"/>
      <c r="P112" s="12"/>
      <c r="Q112" s="12"/>
    </row>
    <row r="113" spans="1:17" s="8" customFormat="1" ht="15.5" customHeight="1" x14ac:dyDescent="0.2">
      <c r="A113" s="35" t="s">
        <v>75</v>
      </c>
      <c r="B113" s="42">
        <v>1500</v>
      </c>
      <c r="C113" s="35" t="s">
        <v>75</v>
      </c>
      <c r="D113" s="35" t="s">
        <v>11</v>
      </c>
      <c r="E113" s="35" t="s">
        <v>13</v>
      </c>
      <c r="F113" s="35"/>
      <c r="G113" s="35" t="s">
        <v>23</v>
      </c>
      <c r="H113" s="35" t="s">
        <v>38</v>
      </c>
      <c r="I113" s="34" t="s">
        <v>118</v>
      </c>
      <c r="L113" s="12"/>
      <c r="M113" s="12"/>
      <c r="N113" s="12"/>
      <c r="O113" s="12"/>
      <c r="P113" s="12"/>
      <c r="Q113" s="12"/>
    </row>
    <row r="114" spans="1:17" s="8" customFormat="1" ht="15.5" customHeight="1" x14ac:dyDescent="0.2">
      <c r="A114" s="35" t="s">
        <v>73</v>
      </c>
      <c r="B114" s="42">
        <v>511</v>
      </c>
      <c r="C114" s="35" t="s">
        <v>73</v>
      </c>
      <c r="D114" s="35" t="s">
        <v>11</v>
      </c>
      <c r="E114" s="35" t="s">
        <v>13</v>
      </c>
      <c r="F114" s="35"/>
      <c r="G114" s="35" t="s">
        <v>23</v>
      </c>
      <c r="H114" s="35" t="s">
        <v>38</v>
      </c>
      <c r="I114" s="34" t="s">
        <v>119</v>
      </c>
      <c r="L114" s="12"/>
      <c r="M114" s="12"/>
      <c r="N114" s="12"/>
      <c r="O114" s="12"/>
      <c r="P114" s="12"/>
      <c r="Q114" s="12"/>
    </row>
    <row r="115" spans="1:17" s="8" customFormat="1" ht="15.5" customHeight="1" x14ac:dyDescent="0.2">
      <c r="A115" s="35" t="s">
        <v>75</v>
      </c>
      <c r="B115" s="42">
        <v>511</v>
      </c>
      <c r="C115" s="35" t="s">
        <v>75</v>
      </c>
      <c r="D115" s="35" t="s">
        <v>11</v>
      </c>
      <c r="E115" s="35" t="s">
        <v>13</v>
      </c>
      <c r="F115" s="35"/>
      <c r="G115" s="35" t="s">
        <v>23</v>
      </c>
      <c r="H115" s="35" t="s">
        <v>38</v>
      </c>
      <c r="I115" s="34" t="s">
        <v>119</v>
      </c>
      <c r="L115" s="12"/>
      <c r="M115" s="12"/>
      <c r="N115" s="12"/>
      <c r="O115" s="12"/>
      <c r="P115" s="12"/>
      <c r="Q115" s="12"/>
    </row>
    <row r="116" spans="1:17" s="8" customFormat="1" ht="15.5" customHeight="1" x14ac:dyDescent="0.2">
      <c r="A116" s="35" t="s">
        <v>120</v>
      </c>
      <c r="B116" s="42">
        <v>29</v>
      </c>
      <c r="C116" s="35" t="s">
        <v>120</v>
      </c>
      <c r="D116" s="35" t="s">
        <v>11</v>
      </c>
      <c r="E116" s="35" t="s">
        <v>121</v>
      </c>
      <c r="F116" s="35"/>
      <c r="G116" s="35" t="s">
        <v>23</v>
      </c>
      <c r="H116" s="35" t="s">
        <v>38</v>
      </c>
      <c r="I116" s="34" t="s">
        <v>119</v>
      </c>
      <c r="L116" s="12"/>
      <c r="M116" s="12"/>
      <c r="N116" s="12"/>
      <c r="O116" s="12"/>
      <c r="P116" s="12"/>
      <c r="Q116" s="12"/>
    </row>
    <row r="117" spans="1:17" s="8" customFormat="1" ht="15.5" customHeight="1" x14ac:dyDescent="0.2">
      <c r="A117" s="35" t="s">
        <v>92</v>
      </c>
      <c r="B117" s="42">
        <v>2250</v>
      </c>
      <c r="C117" s="35" t="s">
        <v>92</v>
      </c>
      <c r="D117" s="35" t="s">
        <v>11</v>
      </c>
      <c r="E117" s="35" t="s">
        <v>13</v>
      </c>
      <c r="F117" s="35"/>
      <c r="G117" s="35" t="s">
        <v>23</v>
      </c>
      <c r="H117" s="35" t="s">
        <v>38</v>
      </c>
      <c r="I117" s="34" t="s">
        <v>122</v>
      </c>
      <c r="L117" s="12"/>
      <c r="M117" s="12"/>
      <c r="N117" s="12"/>
      <c r="O117" s="12"/>
      <c r="P117" s="12"/>
      <c r="Q117" s="12"/>
    </row>
    <row r="118" spans="1:17" s="8" customFormat="1" ht="15.5" customHeight="1" x14ac:dyDescent="0.2">
      <c r="A118" s="46" t="s">
        <v>98</v>
      </c>
      <c r="B118" s="77">
        <v>2250</v>
      </c>
      <c r="C118" s="34" t="s">
        <v>98</v>
      </c>
      <c r="D118" s="35" t="s">
        <v>11</v>
      </c>
      <c r="E118" s="35" t="s">
        <v>13</v>
      </c>
      <c r="F118" s="35"/>
      <c r="G118" s="35" t="s">
        <v>23</v>
      </c>
      <c r="H118" s="35" t="s">
        <v>38</v>
      </c>
      <c r="I118" s="34" t="s">
        <v>122</v>
      </c>
      <c r="L118" s="12"/>
      <c r="M118" s="12"/>
      <c r="N118" s="12"/>
      <c r="O118" s="12"/>
      <c r="P118" s="12"/>
      <c r="Q118" s="12"/>
    </row>
    <row r="119" spans="1:17" s="8" customFormat="1" ht="15.5" customHeight="1" x14ac:dyDescent="0.2">
      <c r="A119" s="35" t="s">
        <v>123</v>
      </c>
      <c r="B119" s="77">
        <v>2.2999999999999998</v>
      </c>
      <c r="C119" s="34" t="s">
        <v>123</v>
      </c>
      <c r="D119" s="35" t="s">
        <v>41</v>
      </c>
      <c r="E119" s="34" t="s">
        <v>124</v>
      </c>
      <c r="F119" s="35"/>
      <c r="G119" s="35" t="s">
        <v>23</v>
      </c>
      <c r="H119" s="35" t="s">
        <v>38</v>
      </c>
      <c r="I119" s="34" t="s">
        <v>125</v>
      </c>
      <c r="L119" s="12"/>
      <c r="M119" s="12"/>
      <c r="N119" s="12"/>
      <c r="O119" s="12"/>
      <c r="P119" s="12"/>
      <c r="Q119" s="12"/>
    </row>
    <row r="120" spans="1:17" s="8" customFormat="1" ht="15.5" customHeight="1" x14ac:dyDescent="0.2">
      <c r="A120" s="35" t="s">
        <v>36</v>
      </c>
      <c r="B120" s="42">
        <v>50000</v>
      </c>
      <c r="C120" s="34" t="s">
        <v>36</v>
      </c>
      <c r="D120" s="35" t="s">
        <v>64</v>
      </c>
      <c r="E120" s="35" t="s">
        <v>37</v>
      </c>
      <c r="F120" s="35"/>
      <c r="G120" s="35" t="s">
        <v>23</v>
      </c>
      <c r="H120" s="35" t="s">
        <v>38</v>
      </c>
      <c r="I120" s="35" t="s">
        <v>78</v>
      </c>
      <c r="L120" s="12"/>
      <c r="M120" s="12"/>
      <c r="N120" s="12"/>
      <c r="O120" s="12"/>
      <c r="P120" s="12"/>
      <c r="Q120" s="12"/>
    </row>
    <row r="121" spans="1:17" s="8" customFormat="1" ht="15" customHeight="1" x14ac:dyDescent="0.2">
      <c r="B121" s="9"/>
      <c r="L121" s="9"/>
      <c r="M121" s="9"/>
      <c r="N121" s="9"/>
      <c r="O121" s="9"/>
      <c r="P121" s="9"/>
      <c r="Q121" s="9"/>
    </row>
    <row r="122" spans="1:17" s="8" customFormat="1" ht="15.5" customHeight="1" x14ac:dyDescent="0.2">
      <c r="A122" s="33" t="s">
        <v>3</v>
      </c>
      <c r="B122" s="76" t="s">
        <v>32</v>
      </c>
      <c r="C122" s="35"/>
      <c r="D122" s="35"/>
      <c r="E122" s="35"/>
      <c r="F122" s="35"/>
      <c r="G122" s="35"/>
      <c r="H122" s="35"/>
      <c r="I122" s="35"/>
      <c r="L122" s="9"/>
      <c r="M122" s="9"/>
      <c r="N122" s="9"/>
      <c r="O122" s="9"/>
      <c r="P122" s="9"/>
      <c r="Q122" s="9"/>
    </row>
    <row r="123" spans="1:17" s="8" customFormat="1" ht="15" customHeight="1" x14ac:dyDescent="0.2">
      <c r="A123" s="36" t="s">
        <v>5</v>
      </c>
      <c r="B123" s="73">
        <v>1</v>
      </c>
      <c r="C123" s="35"/>
      <c r="D123" s="35"/>
      <c r="E123" s="35"/>
      <c r="F123" s="35"/>
      <c r="G123" s="35"/>
      <c r="H123" s="35"/>
      <c r="I123" s="35"/>
      <c r="L123" s="9"/>
      <c r="M123" s="9"/>
      <c r="N123" s="9"/>
      <c r="O123" s="9"/>
      <c r="P123" s="9"/>
      <c r="Q123" s="9"/>
    </row>
    <row r="124" spans="1:17" s="8" customFormat="1" ht="15" customHeight="1" x14ac:dyDescent="0.2">
      <c r="A124" s="36" t="s">
        <v>6</v>
      </c>
      <c r="B124" s="73" t="s">
        <v>55</v>
      </c>
      <c r="C124" s="35"/>
      <c r="D124" s="35"/>
      <c r="E124" s="35"/>
      <c r="F124" s="35"/>
      <c r="G124" s="35"/>
      <c r="H124" s="35"/>
      <c r="I124" s="35"/>
      <c r="L124" s="9"/>
      <c r="M124" s="9"/>
      <c r="N124" s="9"/>
      <c r="O124" s="9"/>
      <c r="P124" s="9"/>
      <c r="Q124" s="9"/>
    </row>
    <row r="125" spans="1:17" s="8" customFormat="1" ht="15" customHeight="1" x14ac:dyDescent="0.2">
      <c r="A125" s="36" t="s">
        <v>8</v>
      </c>
      <c r="B125" s="42" t="s">
        <v>33</v>
      </c>
      <c r="C125" s="35"/>
      <c r="D125" s="35"/>
      <c r="E125" s="35"/>
      <c r="F125" s="35"/>
      <c r="G125" s="35"/>
      <c r="H125" s="35"/>
      <c r="I125" s="35"/>
      <c r="L125" s="9"/>
      <c r="M125" s="9"/>
      <c r="N125" s="9"/>
      <c r="O125" s="9"/>
      <c r="P125" s="9"/>
      <c r="Q125" s="9"/>
    </row>
    <row r="126" spans="1:17" s="8" customFormat="1" ht="15" customHeight="1" x14ac:dyDescent="0.2">
      <c r="A126" s="36" t="s">
        <v>10</v>
      </c>
      <c r="B126" s="73" t="s">
        <v>11</v>
      </c>
      <c r="C126" s="35"/>
      <c r="D126" s="35"/>
      <c r="E126" s="35"/>
      <c r="F126" s="35"/>
      <c r="G126" s="35"/>
      <c r="H126" s="35"/>
      <c r="I126" s="35"/>
      <c r="L126" s="9"/>
      <c r="M126" s="9"/>
      <c r="N126" s="9"/>
      <c r="O126" s="9"/>
      <c r="P126" s="9"/>
      <c r="Q126" s="9"/>
    </row>
    <row r="127" spans="1:17" s="8" customFormat="1" ht="15" customHeight="1" x14ac:dyDescent="0.2">
      <c r="A127" s="36" t="s">
        <v>12</v>
      </c>
      <c r="B127" s="42" t="s">
        <v>12</v>
      </c>
      <c r="C127" s="35"/>
      <c r="D127" s="35"/>
      <c r="E127" s="35"/>
      <c r="F127" s="35"/>
      <c r="G127" s="35"/>
      <c r="H127" s="35"/>
      <c r="I127" s="35"/>
      <c r="L127" s="9"/>
      <c r="M127" s="9"/>
      <c r="N127" s="9"/>
      <c r="O127" s="9"/>
      <c r="P127" s="9"/>
      <c r="Q127" s="9"/>
    </row>
    <row r="128" spans="1:17" s="8" customFormat="1" ht="15.5" customHeight="1" x14ac:dyDescent="0.2">
      <c r="A128" s="38" t="s">
        <v>14</v>
      </c>
      <c r="B128" s="76"/>
      <c r="C128" s="38"/>
      <c r="D128" s="38"/>
      <c r="E128" s="38"/>
      <c r="F128" s="38"/>
      <c r="G128" s="38"/>
      <c r="H128" s="38"/>
      <c r="I128" s="38"/>
      <c r="J128" s="10"/>
      <c r="K128" s="10"/>
      <c r="L128" s="9"/>
      <c r="M128" s="9"/>
      <c r="N128" s="9"/>
      <c r="O128" s="9"/>
      <c r="P128" s="9"/>
      <c r="Q128" s="9"/>
    </row>
    <row r="129" spans="1:21" s="8" customFormat="1" ht="15.5" customHeight="1" x14ac:dyDescent="0.2">
      <c r="A129" s="38" t="s">
        <v>15</v>
      </c>
      <c r="B129" s="76" t="s">
        <v>16</v>
      </c>
      <c r="C129" s="38" t="s">
        <v>8</v>
      </c>
      <c r="D129" s="38" t="s">
        <v>10</v>
      </c>
      <c r="E129" s="38" t="s">
        <v>12</v>
      </c>
      <c r="F129" s="44" t="s">
        <v>17</v>
      </c>
      <c r="G129" s="38" t="s">
        <v>18</v>
      </c>
      <c r="H129" s="38" t="s">
        <v>19</v>
      </c>
      <c r="I129" s="44" t="s">
        <v>6</v>
      </c>
      <c r="J129" s="10"/>
      <c r="K129" s="6"/>
      <c r="L129" s="11"/>
      <c r="M129" s="11"/>
      <c r="N129" s="11"/>
      <c r="O129" s="11"/>
      <c r="P129" s="11"/>
      <c r="Q129" s="11"/>
      <c r="R129" s="6"/>
      <c r="S129" s="6"/>
      <c r="T129" s="10"/>
      <c r="U129" s="6"/>
    </row>
    <row r="130" spans="1:21" s="8" customFormat="1" ht="15" customHeight="1" x14ac:dyDescent="0.2">
      <c r="A130" s="37" t="s">
        <v>32</v>
      </c>
      <c r="B130" s="42">
        <v>-1</v>
      </c>
      <c r="C130" s="35" t="s">
        <v>33</v>
      </c>
      <c r="D130" s="35" t="s">
        <v>11</v>
      </c>
      <c r="E130" s="35" t="s">
        <v>12</v>
      </c>
      <c r="F130" s="35"/>
      <c r="G130" s="35" t="s">
        <v>20</v>
      </c>
      <c r="H130" s="37" t="s">
        <v>2</v>
      </c>
      <c r="I130" s="35"/>
      <c r="L130" s="9"/>
      <c r="M130" s="9"/>
      <c r="N130" s="9"/>
      <c r="O130" s="9"/>
      <c r="P130" s="9"/>
      <c r="Q130" s="9"/>
    </row>
    <row r="131" spans="1:21" s="8" customFormat="1" ht="15.5" customHeight="1" x14ac:dyDescent="0.2">
      <c r="A131" s="37" t="s">
        <v>81</v>
      </c>
      <c r="B131" s="42">
        <v>-7523</v>
      </c>
      <c r="C131" s="35" t="s">
        <v>81</v>
      </c>
      <c r="D131" s="35" t="s">
        <v>11</v>
      </c>
      <c r="E131" s="35" t="s">
        <v>13</v>
      </c>
      <c r="F131" s="35"/>
      <c r="G131" s="35" t="s">
        <v>23</v>
      </c>
      <c r="H131" s="35" t="s">
        <v>38</v>
      </c>
      <c r="I131" s="35"/>
      <c r="L131" s="12"/>
      <c r="M131" s="12"/>
      <c r="N131" s="12"/>
      <c r="O131" s="12"/>
      <c r="P131" s="12"/>
      <c r="Q131" s="12"/>
    </row>
    <row r="132" spans="1:21" s="8" customFormat="1" ht="15.5" customHeight="1" x14ac:dyDescent="0.2">
      <c r="A132" s="37" t="s">
        <v>126</v>
      </c>
      <c r="B132" s="42">
        <v>-3312</v>
      </c>
      <c r="C132" s="37" t="s">
        <v>126</v>
      </c>
      <c r="D132" s="35" t="s">
        <v>41</v>
      </c>
      <c r="E132" s="35" t="s">
        <v>13</v>
      </c>
      <c r="F132" s="35"/>
      <c r="G132" s="35" t="s">
        <v>23</v>
      </c>
      <c r="H132" s="35" t="s">
        <v>38</v>
      </c>
      <c r="I132" s="35"/>
      <c r="L132" s="12"/>
      <c r="M132" s="12"/>
      <c r="N132" s="12"/>
      <c r="O132" s="12"/>
      <c r="P132" s="12"/>
      <c r="Q132" s="12"/>
    </row>
    <row r="133" spans="1:21" s="8" customFormat="1" ht="15.5" customHeight="1" x14ac:dyDescent="0.2">
      <c r="A133" s="35" t="s">
        <v>82</v>
      </c>
      <c r="B133" s="42">
        <v>-260</v>
      </c>
      <c r="C133" s="35" t="s">
        <v>82</v>
      </c>
      <c r="D133" s="35" t="s">
        <v>11</v>
      </c>
      <c r="E133" s="35" t="s">
        <v>13</v>
      </c>
      <c r="F133" s="35"/>
      <c r="G133" s="35" t="s">
        <v>23</v>
      </c>
      <c r="H133" s="35" t="s">
        <v>38</v>
      </c>
      <c r="I133" s="35"/>
      <c r="L133" s="12"/>
      <c r="M133" s="12"/>
      <c r="N133" s="12"/>
      <c r="O133" s="12"/>
      <c r="P133" s="12"/>
      <c r="Q133" s="12"/>
    </row>
    <row r="134" spans="1:21" s="8" customFormat="1" ht="15.5" customHeight="1" x14ac:dyDescent="0.2">
      <c r="A134" s="35" t="s">
        <v>127</v>
      </c>
      <c r="B134" s="42">
        <v>-32</v>
      </c>
      <c r="C134" s="35" t="s">
        <v>127</v>
      </c>
      <c r="D134" s="35" t="s">
        <v>41</v>
      </c>
      <c r="E134" s="35" t="s">
        <v>13</v>
      </c>
      <c r="F134" s="35"/>
      <c r="G134" s="35" t="s">
        <v>23</v>
      </c>
      <c r="H134" s="35" t="s">
        <v>38</v>
      </c>
      <c r="I134" s="35"/>
      <c r="L134" s="12"/>
      <c r="M134" s="12"/>
      <c r="N134" s="12"/>
      <c r="O134" s="12"/>
      <c r="P134" s="12"/>
      <c r="Q134" s="12"/>
    </row>
    <row r="135" spans="1:21" s="8" customFormat="1" ht="15.5" customHeight="1" x14ac:dyDescent="0.2">
      <c r="A135" s="35" t="s">
        <v>128</v>
      </c>
      <c r="B135" s="42">
        <v>-14</v>
      </c>
      <c r="C135" s="35" t="s">
        <v>128</v>
      </c>
      <c r="D135" s="35" t="s">
        <v>64</v>
      </c>
      <c r="E135" s="35" t="s">
        <v>13</v>
      </c>
      <c r="F135" s="35"/>
      <c r="G135" s="35" t="s">
        <v>23</v>
      </c>
      <c r="H135" s="35" t="s">
        <v>38</v>
      </c>
      <c r="I135" s="35"/>
      <c r="L135" s="12"/>
      <c r="M135" s="12"/>
      <c r="N135" s="12"/>
      <c r="O135" s="12"/>
      <c r="P135" s="12"/>
      <c r="Q135" s="12"/>
    </row>
    <row r="136" spans="1:21" s="8" customFormat="1" ht="15.5" customHeight="1" x14ac:dyDescent="0.2">
      <c r="A136" s="35" t="s">
        <v>129</v>
      </c>
      <c r="B136" s="42">
        <v>-8</v>
      </c>
      <c r="C136" s="35" t="s">
        <v>129</v>
      </c>
      <c r="D136" s="35" t="s">
        <v>64</v>
      </c>
      <c r="E136" s="35" t="s">
        <v>13</v>
      </c>
      <c r="F136" s="35"/>
      <c r="G136" s="35" t="s">
        <v>23</v>
      </c>
      <c r="H136" s="35" t="s">
        <v>38</v>
      </c>
      <c r="I136" s="35"/>
      <c r="L136" s="12"/>
      <c r="M136" s="12"/>
      <c r="N136" s="12"/>
      <c r="O136" s="12"/>
      <c r="P136" s="12"/>
      <c r="Q136" s="12"/>
    </row>
    <row r="137" spans="1:21" s="8" customFormat="1" ht="15.5" customHeight="1" x14ac:dyDescent="0.2">
      <c r="A137" s="35" t="s">
        <v>130</v>
      </c>
      <c r="B137" s="42">
        <v>-764.6</v>
      </c>
      <c r="C137" s="35" t="s">
        <v>130</v>
      </c>
      <c r="D137" s="35" t="s">
        <v>41</v>
      </c>
      <c r="E137" s="35" t="s">
        <v>13</v>
      </c>
      <c r="F137" s="35"/>
      <c r="G137" s="35" t="s">
        <v>23</v>
      </c>
      <c r="H137" s="35" t="s">
        <v>38</v>
      </c>
      <c r="I137" s="35"/>
      <c r="L137" s="12"/>
      <c r="M137" s="12"/>
      <c r="N137" s="12"/>
      <c r="O137" s="12"/>
      <c r="P137" s="12"/>
      <c r="Q137" s="12"/>
    </row>
    <row r="138" spans="1:21" s="8" customFormat="1" ht="15.5" customHeight="1" x14ac:dyDescent="0.2">
      <c r="A138" s="35" t="s">
        <v>131</v>
      </c>
      <c r="B138" s="42">
        <v>-600</v>
      </c>
      <c r="C138" s="35" t="s">
        <v>131</v>
      </c>
      <c r="D138" s="35" t="s">
        <v>41</v>
      </c>
      <c r="E138" s="35" t="s">
        <v>13</v>
      </c>
      <c r="F138" s="35"/>
      <c r="G138" s="35" t="s">
        <v>23</v>
      </c>
      <c r="H138" s="35" t="s">
        <v>38</v>
      </c>
      <c r="I138" s="35"/>
      <c r="L138" s="12"/>
      <c r="M138" s="12"/>
      <c r="N138" s="12"/>
      <c r="O138" s="12"/>
      <c r="P138" s="12"/>
      <c r="Q138" s="12"/>
    </row>
    <row r="139" spans="1:21" s="8" customFormat="1" ht="15.5" customHeight="1" x14ac:dyDescent="0.2">
      <c r="A139" s="35" t="s">
        <v>83</v>
      </c>
      <c r="B139" s="42">
        <v>-345</v>
      </c>
      <c r="C139" s="35" t="s">
        <v>83</v>
      </c>
      <c r="D139" s="35" t="s">
        <v>11</v>
      </c>
      <c r="E139" s="35" t="s">
        <v>13</v>
      </c>
      <c r="F139" s="35"/>
      <c r="G139" s="35" t="s">
        <v>23</v>
      </c>
      <c r="H139" s="35" t="s">
        <v>38</v>
      </c>
      <c r="I139" s="35"/>
      <c r="L139" s="12"/>
      <c r="M139" s="12"/>
      <c r="N139" s="12"/>
      <c r="O139" s="12"/>
      <c r="P139" s="12"/>
      <c r="Q139" s="12"/>
    </row>
    <row r="140" spans="1:21" s="8" customFormat="1" ht="15.5" customHeight="1" x14ac:dyDescent="0.2">
      <c r="A140" s="35" t="s">
        <v>84</v>
      </c>
      <c r="B140" s="42">
        <v>-147</v>
      </c>
      <c r="C140" s="35" t="s">
        <v>84</v>
      </c>
      <c r="D140" s="35" t="s">
        <v>41</v>
      </c>
      <c r="E140" s="35" t="s">
        <v>13</v>
      </c>
      <c r="F140" s="35"/>
      <c r="G140" s="35" t="s">
        <v>23</v>
      </c>
      <c r="H140" s="35" t="s">
        <v>38</v>
      </c>
      <c r="I140" s="35"/>
      <c r="L140" s="12"/>
      <c r="M140" s="12"/>
      <c r="N140" s="12"/>
      <c r="O140" s="12"/>
      <c r="P140" s="12"/>
      <c r="Q140" s="12"/>
    </row>
    <row r="141" spans="1:21" s="8" customFormat="1" ht="15.5" customHeight="1" x14ac:dyDescent="0.2">
      <c r="A141" s="35" t="s">
        <v>132</v>
      </c>
      <c r="B141" s="42">
        <v>-5600</v>
      </c>
      <c r="C141" s="35" t="s">
        <v>132</v>
      </c>
      <c r="D141" s="35" t="s">
        <v>41</v>
      </c>
      <c r="E141" s="35" t="s">
        <v>13</v>
      </c>
      <c r="F141" s="35"/>
      <c r="G141" s="35" t="s">
        <v>23</v>
      </c>
      <c r="H141" s="35" t="s">
        <v>38</v>
      </c>
      <c r="I141" s="35"/>
      <c r="L141" s="12"/>
      <c r="M141" s="12"/>
      <c r="N141" s="12"/>
      <c r="O141" s="12"/>
      <c r="P141" s="12"/>
      <c r="Q141" s="12"/>
    </row>
    <row r="142" spans="1:21" s="8" customFormat="1" ht="15.5" customHeight="1" x14ac:dyDescent="0.2">
      <c r="A142" s="35" t="s">
        <v>133</v>
      </c>
      <c r="B142" s="42">
        <v>-100</v>
      </c>
      <c r="C142" s="35" t="s">
        <v>133</v>
      </c>
      <c r="D142" s="35" t="s">
        <v>41</v>
      </c>
      <c r="E142" s="35" t="s">
        <v>13</v>
      </c>
      <c r="F142" s="35"/>
      <c r="G142" s="35" t="s">
        <v>23</v>
      </c>
      <c r="H142" s="35" t="s">
        <v>38</v>
      </c>
      <c r="I142" s="35"/>
      <c r="L142" s="12"/>
      <c r="M142" s="12"/>
      <c r="N142" s="12"/>
      <c r="O142" s="12"/>
      <c r="P142" s="12"/>
      <c r="Q142" s="12"/>
    </row>
    <row r="143" spans="1:21" s="8" customFormat="1" ht="15" customHeight="1" x14ac:dyDescent="0.2">
      <c r="B143" s="9"/>
      <c r="L143" s="9"/>
      <c r="M143" s="9"/>
      <c r="N143" s="9"/>
      <c r="O143" s="9"/>
      <c r="P143" s="9"/>
      <c r="Q143" s="9"/>
    </row>
    <row r="144" spans="1:21" s="8" customFormat="1" ht="15.5" customHeight="1" x14ac:dyDescent="0.2">
      <c r="A144" s="33" t="s">
        <v>3</v>
      </c>
      <c r="B144" s="76" t="s">
        <v>66</v>
      </c>
      <c r="C144" s="35"/>
      <c r="D144" s="35"/>
      <c r="E144" s="35"/>
      <c r="F144" s="35"/>
      <c r="G144" s="35"/>
      <c r="H144" s="35"/>
      <c r="I144" s="35"/>
      <c r="L144" s="13"/>
      <c r="M144" s="14"/>
      <c r="N144" s="9"/>
      <c r="O144" s="9"/>
      <c r="P144" s="9"/>
      <c r="Q144" s="9"/>
    </row>
    <row r="145" spans="1:21" s="8" customFormat="1" ht="15" customHeight="1" x14ac:dyDescent="0.2">
      <c r="A145" s="36" t="s">
        <v>5</v>
      </c>
      <c r="B145" s="73">
        <v>1</v>
      </c>
      <c r="C145" s="35"/>
      <c r="D145" s="35"/>
      <c r="E145" s="35"/>
      <c r="F145" s="35"/>
      <c r="G145" s="35"/>
      <c r="H145" s="35"/>
      <c r="I145" s="35"/>
      <c r="L145" s="15"/>
      <c r="M145" s="14"/>
      <c r="N145" s="9"/>
      <c r="O145" s="9"/>
      <c r="P145" s="9"/>
      <c r="Q145" s="9"/>
    </row>
    <row r="146" spans="1:21" s="8" customFormat="1" ht="15" customHeight="1" x14ac:dyDescent="0.2">
      <c r="A146" s="36" t="s">
        <v>6</v>
      </c>
      <c r="B146" s="73" t="s">
        <v>134</v>
      </c>
      <c r="C146" s="35"/>
      <c r="D146" s="35"/>
      <c r="E146" s="35"/>
      <c r="F146" s="35"/>
      <c r="G146" s="35"/>
      <c r="H146" s="35"/>
      <c r="I146" s="35"/>
      <c r="L146" s="9"/>
      <c r="M146" s="14"/>
      <c r="N146" s="9"/>
      <c r="O146" s="9"/>
      <c r="P146" s="9"/>
      <c r="Q146" s="9"/>
    </row>
    <row r="147" spans="1:21" s="8" customFormat="1" ht="15" customHeight="1" x14ac:dyDescent="0.2">
      <c r="A147" s="36" t="s">
        <v>8</v>
      </c>
      <c r="B147" s="42" t="s">
        <v>67</v>
      </c>
      <c r="C147" s="35"/>
      <c r="D147" s="35"/>
      <c r="E147" s="35"/>
      <c r="F147" s="35"/>
      <c r="G147" s="35"/>
      <c r="H147" s="35"/>
      <c r="I147" s="35"/>
      <c r="L147" s="9"/>
      <c r="M147" s="9"/>
      <c r="N147" s="9"/>
      <c r="O147" s="9"/>
      <c r="P147" s="9"/>
      <c r="Q147" s="9"/>
    </row>
    <row r="148" spans="1:21" s="8" customFormat="1" ht="16.25" customHeight="1" x14ac:dyDescent="0.2">
      <c r="A148" s="36" t="s">
        <v>10</v>
      </c>
      <c r="B148" s="73" t="s">
        <v>64</v>
      </c>
      <c r="C148" s="35"/>
      <c r="D148" s="35"/>
      <c r="E148" s="35"/>
      <c r="F148" s="35"/>
      <c r="G148" s="35"/>
      <c r="H148" s="35"/>
      <c r="I148" s="35"/>
      <c r="L148" s="9"/>
      <c r="M148" s="9"/>
      <c r="N148" s="9"/>
      <c r="O148" s="9"/>
      <c r="P148" s="9"/>
      <c r="Q148" s="9"/>
    </row>
    <row r="149" spans="1:21" s="8" customFormat="1" ht="15.5" customHeight="1" x14ac:dyDescent="0.2">
      <c r="A149" s="36" t="s">
        <v>12</v>
      </c>
      <c r="B149" s="42" t="s">
        <v>13</v>
      </c>
      <c r="C149" s="35"/>
      <c r="D149" s="35"/>
      <c r="E149" s="35"/>
      <c r="F149" s="35"/>
      <c r="G149" s="35"/>
      <c r="H149" s="35"/>
      <c r="I149" s="38"/>
      <c r="J149" s="10"/>
      <c r="L149" s="9"/>
      <c r="M149" s="9"/>
      <c r="N149" s="9"/>
      <c r="O149" s="9"/>
      <c r="P149" s="9"/>
      <c r="Q149" s="9"/>
    </row>
    <row r="150" spans="1:21" s="8" customFormat="1" ht="15.5" customHeight="1" x14ac:dyDescent="0.2">
      <c r="A150" s="38" t="s">
        <v>14</v>
      </c>
      <c r="B150" s="76"/>
      <c r="C150" s="38"/>
      <c r="D150" s="38"/>
      <c r="E150" s="38"/>
      <c r="F150" s="38"/>
      <c r="G150" s="38"/>
      <c r="H150" s="38"/>
      <c r="I150" s="34"/>
      <c r="J150" s="7"/>
      <c r="L150" s="9"/>
      <c r="M150" s="9"/>
      <c r="N150" s="9"/>
      <c r="O150" s="9"/>
      <c r="P150" s="9"/>
      <c r="Q150" s="9"/>
    </row>
    <row r="151" spans="1:21" s="8" customFormat="1" ht="15.5" customHeight="1" x14ac:dyDescent="0.2">
      <c r="A151" s="38" t="s">
        <v>15</v>
      </c>
      <c r="B151" s="76" t="s">
        <v>16</v>
      </c>
      <c r="C151" s="38" t="s">
        <v>8</v>
      </c>
      <c r="D151" s="38" t="s">
        <v>10</v>
      </c>
      <c r="E151" s="38" t="s">
        <v>12</v>
      </c>
      <c r="F151" s="44" t="s">
        <v>17</v>
      </c>
      <c r="G151" s="38" t="s">
        <v>18</v>
      </c>
      <c r="H151" s="38" t="s">
        <v>19</v>
      </c>
      <c r="I151" s="44" t="s">
        <v>6</v>
      </c>
      <c r="J151" s="10"/>
      <c r="K151" s="6"/>
      <c r="L151" s="11"/>
      <c r="M151" s="11"/>
      <c r="N151" s="11"/>
      <c r="O151" s="11"/>
      <c r="P151" s="11"/>
      <c r="Q151" s="11"/>
      <c r="R151" s="6"/>
      <c r="S151" s="6"/>
      <c r="T151" s="10"/>
      <c r="U151" s="6"/>
    </row>
    <row r="152" spans="1:21" s="8" customFormat="1" ht="15" customHeight="1" x14ac:dyDescent="0.2">
      <c r="A152" s="37" t="s">
        <v>66</v>
      </c>
      <c r="B152" s="42">
        <v>1</v>
      </c>
      <c r="C152" s="35" t="s">
        <v>67</v>
      </c>
      <c r="D152" s="35" t="s">
        <v>64</v>
      </c>
      <c r="E152" s="35" t="s">
        <v>13</v>
      </c>
      <c r="F152" s="34"/>
      <c r="G152" s="35" t="s">
        <v>20</v>
      </c>
      <c r="H152" s="37" t="s">
        <v>2</v>
      </c>
      <c r="I152" s="34"/>
      <c r="J152" s="7"/>
      <c r="K152" s="7"/>
      <c r="L152" s="9"/>
      <c r="M152" s="9"/>
      <c r="N152" s="9"/>
      <c r="O152" s="9"/>
      <c r="P152" s="9"/>
      <c r="Q152" s="9"/>
    </row>
    <row r="153" spans="1:21" s="8" customFormat="1" ht="15.5" customHeight="1" x14ac:dyDescent="0.2">
      <c r="A153" s="35" t="s">
        <v>135</v>
      </c>
      <c r="B153" s="37">
        <v>7.8099999999999989E-2</v>
      </c>
      <c r="C153" s="35"/>
      <c r="D153" s="35"/>
      <c r="E153" s="35" t="s">
        <v>13</v>
      </c>
      <c r="F153" s="35" t="s">
        <v>44</v>
      </c>
      <c r="G153" s="35" t="s">
        <v>45</v>
      </c>
      <c r="H153" s="40" t="s">
        <v>46</v>
      </c>
      <c r="I153" s="35"/>
      <c r="L153" s="12"/>
      <c r="M153" s="12"/>
      <c r="N153" s="12"/>
      <c r="O153" s="12"/>
      <c r="P153" s="12"/>
      <c r="Q153" s="12"/>
      <c r="R153" s="12"/>
    </row>
    <row r="154" spans="1:21" s="8" customFormat="1" ht="15.5" customHeight="1" x14ac:dyDescent="0.2">
      <c r="A154" s="35" t="s">
        <v>136</v>
      </c>
      <c r="B154" s="42">
        <v>19.13</v>
      </c>
      <c r="C154" s="35"/>
      <c r="D154" s="35"/>
      <c r="E154" s="35" t="s">
        <v>13</v>
      </c>
      <c r="F154" s="35" t="s">
        <v>44</v>
      </c>
      <c r="G154" s="35" t="s">
        <v>45</v>
      </c>
      <c r="H154" s="40" t="s">
        <v>46</v>
      </c>
      <c r="I154" s="35"/>
      <c r="L154" s="12"/>
      <c r="M154" s="12"/>
      <c r="N154" s="12"/>
      <c r="O154" s="12"/>
      <c r="P154" s="12"/>
      <c r="Q154" s="12"/>
      <c r="R154" s="12"/>
    </row>
    <row r="155" spans="1:21" s="8" customFormat="1" ht="15.5" customHeight="1" x14ac:dyDescent="0.2">
      <c r="A155" s="35" t="s">
        <v>137</v>
      </c>
      <c r="B155" s="37">
        <v>8.1000000000000006E-4</v>
      </c>
      <c r="C155" s="35"/>
      <c r="D155" s="35"/>
      <c r="E155" s="35" t="s">
        <v>13</v>
      </c>
      <c r="F155" s="35" t="s">
        <v>44</v>
      </c>
      <c r="G155" s="35" t="s">
        <v>45</v>
      </c>
      <c r="H155" s="40" t="s">
        <v>46</v>
      </c>
      <c r="I155" s="35"/>
      <c r="L155" s="12"/>
      <c r="M155" s="12"/>
      <c r="N155" s="12"/>
      <c r="O155" s="12"/>
      <c r="P155" s="12"/>
      <c r="Q155" s="12"/>
      <c r="R155" s="12"/>
    </row>
    <row r="156" spans="1:21" s="8" customFormat="1" ht="15.5" customHeight="1" x14ac:dyDescent="0.2">
      <c r="A156" s="35" t="s">
        <v>138</v>
      </c>
      <c r="B156" s="37">
        <v>6.9300000000000004E-3</v>
      </c>
      <c r="C156" s="35"/>
      <c r="D156" s="35"/>
      <c r="E156" s="35" t="s">
        <v>13</v>
      </c>
      <c r="F156" s="35" t="s">
        <v>44</v>
      </c>
      <c r="G156" s="35" t="s">
        <v>45</v>
      </c>
      <c r="H156" s="40" t="s">
        <v>46</v>
      </c>
      <c r="I156" s="35"/>
      <c r="L156" s="12"/>
      <c r="M156" s="12"/>
      <c r="N156" s="12"/>
      <c r="O156" s="12"/>
      <c r="P156" s="12"/>
      <c r="Q156" s="12"/>
      <c r="R156" s="12"/>
    </row>
    <row r="157" spans="1:21" s="8" customFormat="1" ht="15.5" customHeight="1" x14ac:dyDescent="0.2">
      <c r="A157" s="35" t="s">
        <v>139</v>
      </c>
      <c r="B157" s="42">
        <v>7.1589999999999998</v>
      </c>
      <c r="C157" s="35"/>
      <c r="D157" s="35"/>
      <c r="E157" s="35" t="s">
        <v>13</v>
      </c>
      <c r="F157" s="35" t="s">
        <v>44</v>
      </c>
      <c r="G157" s="35" t="s">
        <v>45</v>
      </c>
      <c r="H157" s="40" t="s">
        <v>46</v>
      </c>
      <c r="I157" s="35"/>
      <c r="L157" s="12"/>
      <c r="M157" s="12"/>
      <c r="N157" s="12"/>
      <c r="O157" s="12"/>
      <c r="P157" s="12"/>
      <c r="Q157" s="12"/>
      <c r="R157" s="12"/>
    </row>
    <row r="158" spans="1:21" s="8" customFormat="1" ht="15.5" customHeight="1" x14ac:dyDescent="0.2">
      <c r="A158" s="35" t="s">
        <v>140</v>
      </c>
      <c r="B158" s="42">
        <v>11146.616</v>
      </c>
      <c r="C158" s="35"/>
      <c r="D158" s="35"/>
      <c r="E158" s="35" t="s">
        <v>13</v>
      </c>
      <c r="F158" s="35" t="s">
        <v>44</v>
      </c>
      <c r="G158" s="35" t="s">
        <v>45</v>
      </c>
      <c r="H158" s="40" t="s">
        <v>46</v>
      </c>
      <c r="I158" s="35"/>
      <c r="L158" s="12"/>
      <c r="M158" s="12"/>
      <c r="N158" s="12"/>
      <c r="O158" s="12"/>
      <c r="P158" s="12"/>
      <c r="Q158" s="12"/>
      <c r="R158" s="12"/>
    </row>
    <row r="159" spans="1:21" s="8" customFormat="1" ht="15.5" customHeight="1" x14ac:dyDescent="0.2">
      <c r="A159" s="35" t="s">
        <v>141</v>
      </c>
      <c r="B159" s="42">
        <v>412.19600000000003</v>
      </c>
      <c r="C159" s="35"/>
      <c r="D159" s="35"/>
      <c r="E159" s="35" t="s">
        <v>13</v>
      </c>
      <c r="F159" s="35" t="s">
        <v>44</v>
      </c>
      <c r="G159" s="35" t="s">
        <v>45</v>
      </c>
      <c r="H159" s="40" t="s">
        <v>46</v>
      </c>
      <c r="I159" s="35"/>
      <c r="L159" s="12"/>
      <c r="M159" s="12"/>
      <c r="N159" s="12"/>
      <c r="O159" s="12"/>
      <c r="P159" s="12"/>
      <c r="Q159" s="12"/>
      <c r="R159" s="12"/>
    </row>
    <row r="160" spans="1:21" s="8" customFormat="1" ht="15.5" customHeight="1" x14ac:dyDescent="0.2">
      <c r="A160" s="35" t="s">
        <v>142</v>
      </c>
      <c r="B160" s="37">
        <v>8.7600000000000004E-8</v>
      </c>
      <c r="C160" s="35"/>
      <c r="D160" s="35"/>
      <c r="E160" s="35" t="s">
        <v>13</v>
      </c>
      <c r="F160" s="35" t="s">
        <v>44</v>
      </c>
      <c r="G160" s="35" t="s">
        <v>45</v>
      </c>
      <c r="H160" s="40" t="s">
        <v>46</v>
      </c>
      <c r="I160" s="35"/>
      <c r="L160" s="12"/>
      <c r="M160" s="12"/>
      <c r="N160" s="12"/>
      <c r="O160" s="12"/>
      <c r="P160" s="12"/>
      <c r="Q160" s="12"/>
      <c r="R160" s="12"/>
    </row>
    <row r="161" spans="1:18" s="8" customFormat="1" ht="15.5" customHeight="1" x14ac:dyDescent="0.2">
      <c r="A161" s="35" t="s">
        <v>143</v>
      </c>
      <c r="B161" s="37">
        <v>5.7299999999999999E-9</v>
      </c>
      <c r="C161" s="35"/>
      <c r="D161" s="35"/>
      <c r="E161" s="35" t="s">
        <v>13</v>
      </c>
      <c r="F161" s="35" t="s">
        <v>44</v>
      </c>
      <c r="G161" s="35" t="s">
        <v>45</v>
      </c>
      <c r="H161" s="40" t="s">
        <v>46</v>
      </c>
      <c r="I161" s="35"/>
      <c r="L161" s="12"/>
      <c r="M161" s="12"/>
      <c r="N161" s="12"/>
      <c r="O161" s="12"/>
      <c r="P161" s="12"/>
      <c r="Q161" s="12"/>
      <c r="R161" s="12"/>
    </row>
    <row r="162" spans="1:18" s="8" customFormat="1" ht="15.5" customHeight="1" x14ac:dyDescent="0.2">
      <c r="A162" s="35" t="s">
        <v>144</v>
      </c>
      <c r="B162" s="37">
        <v>5.5599999999999998E-3</v>
      </c>
      <c r="C162" s="35"/>
      <c r="D162" s="35"/>
      <c r="E162" s="35" t="s">
        <v>13</v>
      </c>
      <c r="F162" s="35" t="s">
        <v>44</v>
      </c>
      <c r="G162" s="35" t="s">
        <v>45</v>
      </c>
      <c r="H162" s="40" t="s">
        <v>46</v>
      </c>
      <c r="I162" s="35"/>
      <c r="L162" s="12"/>
      <c r="M162" s="12"/>
      <c r="N162" s="12"/>
      <c r="O162" s="12"/>
      <c r="P162" s="12"/>
      <c r="Q162" s="12"/>
      <c r="R162" s="12"/>
    </row>
    <row r="163" spans="1:18" s="8" customFormat="1" ht="15.5" customHeight="1" x14ac:dyDescent="0.2">
      <c r="A163" s="35" t="s">
        <v>145</v>
      </c>
      <c r="B163" s="42">
        <v>36.700000000000003</v>
      </c>
      <c r="C163" s="35"/>
      <c r="D163" s="35"/>
      <c r="E163" s="35" t="s">
        <v>13</v>
      </c>
      <c r="F163" s="35" t="s">
        <v>44</v>
      </c>
      <c r="G163" s="35" t="s">
        <v>45</v>
      </c>
      <c r="H163" s="40" t="s">
        <v>46</v>
      </c>
      <c r="I163" s="35"/>
      <c r="L163" s="12"/>
      <c r="M163" s="12"/>
      <c r="N163" s="12"/>
      <c r="O163" s="12"/>
      <c r="P163" s="12"/>
      <c r="Q163" s="12"/>
      <c r="R163" s="12"/>
    </row>
    <row r="164" spans="1:18" s="8" customFormat="1" ht="15.5" customHeight="1" x14ac:dyDescent="0.2">
      <c r="A164" s="35" t="s">
        <v>146</v>
      </c>
      <c r="B164" s="37">
        <v>4.8599999999999997E-2</v>
      </c>
      <c r="C164" s="35"/>
      <c r="D164" s="35"/>
      <c r="E164" s="35" t="s">
        <v>13</v>
      </c>
      <c r="F164" s="35" t="s">
        <v>44</v>
      </c>
      <c r="G164" s="35" t="s">
        <v>45</v>
      </c>
      <c r="H164" s="40" t="s">
        <v>46</v>
      </c>
      <c r="I164" s="35"/>
      <c r="L164" s="12"/>
      <c r="M164" s="12"/>
      <c r="N164" s="12"/>
      <c r="O164" s="12"/>
      <c r="P164" s="12"/>
      <c r="Q164" s="12"/>
      <c r="R164" s="12"/>
    </row>
    <row r="165" spans="1:18" s="8" customFormat="1" ht="15.5" customHeight="1" x14ac:dyDescent="0.2">
      <c r="A165" s="35" t="s">
        <v>147</v>
      </c>
      <c r="B165" s="37">
        <v>1.9099999999999999E-2</v>
      </c>
      <c r="C165" s="35"/>
      <c r="D165" s="35"/>
      <c r="E165" s="35" t="s">
        <v>13</v>
      </c>
      <c r="F165" s="35" t="s">
        <v>44</v>
      </c>
      <c r="G165" s="35" t="s">
        <v>45</v>
      </c>
      <c r="H165" s="40" t="s">
        <v>46</v>
      </c>
      <c r="I165" s="35"/>
      <c r="L165" s="12"/>
      <c r="M165" s="12"/>
      <c r="N165" s="12"/>
      <c r="O165" s="12"/>
      <c r="P165" s="12"/>
      <c r="Q165" s="12"/>
      <c r="R165" s="12"/>
    </row>
    <row r="166" spans="1:18" s="8" customFormat="1" ht="15.5" customHeight="1" x14ac:dyDescent="0.2">
      <c r="A166" s="35" t="s">
        <v>148</v>
      </c>
      <c r="B166" s="37">
        <v>0.499</v>
      </c>
      <c r="C166" s="35"/>
      <c r="D166" s="35"/>
      <c r="E166" s="35" t="s">
        <v>13</v>
      </c>
      <c r="F166" s="35" t="s">
        <v>44</v>
      </c>
      <c r="G166" s="35" t="s">
        <v>45</v>
      </c>
      <c r="H166" s="40" t="s">
        <v>46</v>
      </c>
      <c r="I166" s="35"/>
      <c r="L166" s="12"/>
      <c r="M166" s="12"/>
      <c r="N166" s="12"/>
      <c r="O166" s="12"/>
      <c r="P166" s="12"/>
      <c r="Q166" s="12"/>
      <c r="R166" s="12"/>
    </row>
    <row r="167" spans="1:18" s="8" customFormat="1" ht="15.5" customHeight="1" x14ac:dyDescent="0.2">
      <c r="A167" s="35" t="s">
        <v>149</v>
      </c>
      <c r="B167" s="37">
        <v>4.6999999999999999E-9</v>
      </c>
      <c r="C167" s="35"/>
      <c r="D167" s="35"/>
      <c r="E167" s="35" t="s">
        <v>13</v>
      </c>
      <c r="F167" s="35" t="s">
        <v>44</v>
      </c>
      <c r="G167" s="35" t="s">
        <v>45</v>
      </c>
      <c r="H167" s="40" t="s">
        <v>46</v>
      </c>
      <c r="I167" s="35"/>
      <c r="L167" s="12"/>
      <c r="M167" s="12"/>
      <c r="N167" s="12"/>
      <c r="O167" s="12"/>
      <c r="P167" s="12"/>
      <c r="Q167" s="12"/>
      <c r="R167" s="12"/>
    </row>
    <row r="168" spans="1:18" s="8" customFormat="1" ht="15.5" customHeight="1" x14ac:dyDescent="0.2">
      <c r="A168" s="35" t="s">
        <v>150</v>
      </c>
      <c r="B168" s="37">
        <v>4.87E-2</v>
      </c>
      <c r="C168" s="35"/>
      <c r="D168" s="35"/>
      <c r="E168" s="35" t="s">
        <v>13</v>
      </c>
      <c r="F168" s="35" t="s">
        <v>44</v>
      </c>
      <c r="G168" s="35" t="s">
        <v>45</v>
      </c>
      <c r="H168" s="40" t="s">
        <v>46</v>
      </c>
      <c r="I168" s="35"/>
      <c r="L168" s="12"/>
      <c r="M168" s="12"/>
      <c r="N168" s="12"/>
      <c r="O168" s="12"/>
      <c r="P168" s="12"/>
      <c r="Q168" s="12"/>
      <c r="R168" s="12"/>
    </row>
    <row r="169" spans="1:18" s="8" customFormat="1" ht="15.5" customHeight="1" x14ac:dyDescent="0.2">
      <c r="A169" s="35" t="s">
        <v>151</v>
      </c>
      <c r="B169" s="37">
        <v>2.1E-7</v>
      </c>
      <c r="C169" s="35"/>
      <c r="D169" s="35"/>
      <c r="E169" s="35" t="s">
        <v>13</v>
      </c>
      <c r="F169" s="35" t="s">
        <v>44</v>
      </c>
      <c r="G169" s="35" t="s">
        <v>45</v>
      </c>
      <c r="H169" s="40" t="s">
        <v>46</v>
      </c>
      <c r="I169" s="35"/>
      <c r="L169" s="12"/>
      <c r="M169" s="12"/>
      <c r="N169" s="12"/>
      <c r="O169" s="12"/>
      <c r="P169" s="12"/>
      <c r="Q169" s="12"/>
      <c r="R169" s="12"/>
    </row>
    <row r="170" spans="1:18" s="8" customFormat="1" ht="15.5" customHeight="1" x14ac:dyDescent="0.2">
      <c r="A170" s="35" t="s">
        <v>152</v>
      </c>
      <c r="B170" s="37">
        <v>2.5600000000000001E-2</v>
      </c>
      <c r="C170" s="35"/>
      <c r="D170" s="35"/>
      <c r="E170" s="35" t="s">
        <v>13</v>
      </c>
      <c r="F170" s="35" t="s">
        <v>44</v>
      </c>
      <c r="G170" s="35" t="s">
        <v>45</v>
      </c>
      <c r="H170" s="40" t="s">
        <v>46</v>
      </c>
      <c r="I170" s="35"/>
      <c r="L170" s="12"/>
      <c r="M170" s="12"/>
      <c r="N170" s="12"/>
      <c r="O170" s="12"/>
      <c r="P170" s="12"/>
      <c r="Q170" s="12"/>
      <c r="R170" s="12"/>
    </row>
    <row r="171" spans="1:18" s="8" customFormat="1" ht="15.5" customHeight="1" x14ac:dyDescent="0.2">
      <c r="A171" s="35" t="s">
        <v>153</v>
      </c>
      <c r="B171" s="42">
        <v>1.06</v>
      </c>
      <c r="C171" s="35"/>
      <c r="D171" s="35"/>
      <c r="E171" s="35" t="s">
        <v>13</v>
      </c>
      <c r="F171" s="35" t="s">
        <v>44</v>
      </c>
      <c r="G171" s="35" t="s">
        <v>45</v>
      </c>
      <c r="H171" s="40" t="s">
        <v>46</v>
      </c>
      <c r="I171" s="35"/>
      <c r="L171" s="12"/>
      <c r="M171" s="12"/>
      <c r="N171" s="12"/>
      <c r="O171" s="12"/>
      <c r="P171" s="12"/>
      <c r="Q171" s="12"/>
      <c r="R171" s="12"/>
    </row>
    <row r="172" spans="1:18" s="8" customFormat="1" ht="15.5" customHeight="1" x14ac:dyDescent="0.2">
      <c r="A172" s="35" t="s">
        <v>154</v>
      </c>
      <c r="B172" s="37">
        <v>0.35199999999999998</v>
      </c>
      <c r="C172" s="35"/>
      <c r="D172" s="35"/>
      <c r="E172" s="35" t="s">
        <v>13</v>
      </c>
      <c r="F172" s="35" t="s">
        <v>44</v>
      </c>
      <c r="G172" s="35" t="s">
        <v>45</v>
      </c>
      <c r="H172" s="40" t="s">
        <v>46</v>
      </c>
      <c r="I172" s="35"/>
      <c r="L172" s="12"/>
      <c r="M172" s="12"/>
      <c r="N172" s="12"/>
      <c r="O172" s="12"/>
      <c r="P172" s="12"/>
      <c r="Q172" s="12"/>
      <c r="R172" s="12"/>
    </row>
    <row r="173" spans="1:18" s="8" customFormat="1" ht="15.5" customHeight="1" x14ac:dyDescent="0.2">
      <c r="A173" s="35" t="s">
        <v>155</v>
      </c>
      <c r="B173" s="37">
        <v>2.69E-2</v>
      </c>
      <c r="C173" s="35"/>
      <c r="D173" s="35"/>
      <c r="E173" s="35" t="s">
        <v>13</v>
      </c>
      <c r="F173" s="35" t="s">
        <v>44</v>
      </c>
      <c r="G173" s="35" t="s">
        <v>45</v>
      </c>
      <c r="H173" s="40" t="s">
        <v>46</v>
      </c>
      <c r="I173" s="35"/>
      <c r="L173" s="12"/>
      <c r="M173" s="12"/>
      <c r="N173" s="12"/>
      <c r="O173" s="12"/>
      <c r="P173" s="12"/>
      <c r="Q173" s="12"/>
      <c r="R173" s="12"/>
    </row>
    <row r="174" spans="1:18" s="8" customFormat="1" ht="15.5" customHeight="1" x14ac:dyDescent="0.2">
      <c r="A174" s="35" t="s">
        <v>156</v>
      </c>
      <c r="B174" s="42">
        <v>26.859000000000002</v>
      </c>
      <c r="C174" s="35"/>
      <c r="D174" s="35"/>
      <c r="E174" s="35" t="s">
        <v>13</v>
      </c>
      <c r="F174" s="35" t="s">
        <v>44</v>
      </c>
      <c r="G174" s="35" t="s">
        <v>45</v>
      </c>
      <c r="H174" s="40" t="s">
        <v>46</v>
      </c>
      <c r="I174" s="35"/>
      <c r="L174" s="12"/>
      <c r="M174" s="12"/>
      <c r="N174" s="12"/>
      <c r="O174" s="12"/>
      <c r="P174" s="12"/>
      <c r="Q174" s="12"/>
      <c r="R174" s="12"/>
    </row>
    <row r="175" spans="1:18" s="8" customFormat="1" ht="15.5" customHeight="1" x14ac:dyDescent="0.2">
      <c r="A175" s="35" t="s">
        <v>157</v>
      </c>
      <c r="B175" s="42">
        <v>30.635000000000002</v>
      </c>
      <c r="C175" s="35"/>
      <c r="D175" s="35"/>
      <c r="E175" s="35" t="s">
        <v>13</v>
      </c>
      <c r="F175" s="35" t="s">
        <v>44</v>
      </c>
      <c r="G175" s="35" t="s">
        <v>45</v>
      </c>
      <c r="H175" s="40" t="s">
        <v>46</v>
      </c>
      <c r="I175" s="35"/>
      <c r="L175" s="12"/>
      <c r="M175" s="12"/>
      <c r="N175" s="12"/>
      <c r="O175" s="12"/>
      <c r="P175" s="12"/>
      <c r="Q175" s="12"/>
      <c r="R175" s="12"/>
    </row>
    <row r="176" spans="1:18" s="8" customFormat="1" ht="15.5" customHeight="1" x14ac:dyDescent="0.2">
      <c r="A176" s="35" t="s">
        <v>158</v>
      </c>
      <c r="B176" s="37">
        <v>9.5200000000000002E-10</v>
      </c>
      <c r="C176" s="35"/>
      <c r="D176" s="35"/>
      <c r="E176" s="35" t="s">
        <v>13</v>
      </c>
      <c r="F176" s="35" t="s">
        <v>44</v>
      </c>
      <c r="G176" s="35" t="s">
        <v>45</v>
      </c>
      <c r="H176" s="40" t="s">
        <v>46</v>
      </c>
      <c r="I176" s="35"/>
      <c r="L176" s="12"/>
      <c r="M176" s="12"/>
      <c r="N176" s="12"/>
      <c r="O176" s="12"/>
      <c r="P176" s="12"/>
      <c r="Q176" s="12"/>
      <c r="R176" s="12"/>
    </row>
    <row r="177" spans="1:21" s="8" customFormat="1" ht="15.5" customHeight="1" x14ac:dyDescent="0.2">
      <c r="A177" s="35" t="s">
        <v>159</v>
      </c>
      <c r="B177" s="37">
        <v>2.4600000000000002E-6</v>
      </c>
      <c r="C177" s="35"/>
      <c r="D177" s="35"/>
      <c r="E177" s="35" t="s">
        <v>13</v>
      </c>
      <c r="F177" s="35" t="s">
        <v>44</v>
      </c>
      <c r="G177" s="35" t="s">
        <v>45</v>
      </c>
      <c r="H177" s="40" t="s">
        <v>46</v>
      </c>
      <c r="I177" s="35"/>
      <c r="L177" s="12"/>
      <c r="M177" s="12"/>
      <c r="N177" s="12"/>
      <c r="O177" s="12"/>
      <c r="P177" s="12"/>
      <c r="Q177" s="12"/>
      <c r="R177" s="12"/>
    </row>
    <row r="178" spans="1:21" s="8" customFormat="1" ht="15.5" customHeight="1" x14ac:dyDescent="0.2">
      <c r="A178" s="35" t="s">
        <v>160</v>
      </c>
      <c r="B178" s="37">
        <v>3.4300000000000002E-6</v>
      </c>
      <c r="C178" s="35"/>
      <c r="D178" s="35"/>
      <c r="E178" s="35" t="s">
        <v>13</v>
      </c>
      <c r="F178" s="35" t="s">
        <v>44</v>
      </c>
      <c r="G178" s="35" t="s">
        <v>45</v>
      </c>
      <c r="H178" s="40" t="s">
        <v>46</v>
      </c>
      <c r="I178" s="35"/>
      <c r="L178" s="12"/>
      <c r="M178" s="12"/>
      <c r="N178" s="12"/>
      <c r="O178" s="12"/>
      <c r="P178" s="12"/>
      <c r="Q178" s="12"/>
      <c r="R178" s="12"/>
    </row>
    <row r="179" spans="1:21" s="8" customFormat="1" ht="15.5" customHeight="1" x14ac:dyDescent="0.2">
      <c r="A179" s="35" t="s">
        <v>161</v>
      </c>
      <c r="B179" s="37">
        <v>1.5E-3</v>
      </c>
      <c r="C179" s="35"/>
      <c r="D179" s="35"/>
      <c r="E179" s="35" t="s">
        <v>13</v>
      </c>
      <c r="F179" s="35" t="s">
        <v>44</v>
      </c>
      <c r="G179" s="35" t="s">
        <v>45</v>
      </c>
      <c r="H179" s="40" t="s">
        <v>46</v>
      </c>
      <c r="I179" s="35"/>
      <c r="L179" s="12"/>
      <c r="M179" s="12"/>
      <c r="N179" s="12"/>
      <c r="O179" s="12"/>
      <c r="P179" s="12"/>
      <c r="Q179" s="12"/>
      <c r="R179" s="12"/>
    </row>
    <row r="180" spans="1:21" s="8" customFormat="1" ht="15.5" customHeight="1" x14ac:dyDescent="0.2">
      <c r="A180" s="35" t="s">
        <v>162</v>
      </c>
      <c r="B180" s="37">
        <v>2.6200000000000003E-4</v>
      </c>
      <c r="C180" s="35"/>
      <c r="D180" s="35"/>
      <c r="E180" s="35" t="s">
        <v>13</v>
      </c>
      <c r="F180" s="35" t="s">
        <v>44</v>
      </c>
      <c r="G180" s="35" t="s">
        <v>45</v>
      </c>
      <c r="H180" s="40" t="s">
        <v>46</v>
      </c>
      <c r="I180" s="35"/>
      <c r="L180" s="12"/>
      <c r="M180" s="12"/>
      <c r="N180" s="12"/>
      <c r="O180" s="12"/>
      <c r="P180" s="12"/>
      <c r="Q180" s="12"/>
      <c r="R180" s="12"/>
    </row>
    <row r="181" spans="1:21" s="8" customFormat="1" ht="15.5" customHeight="1" x14ac:dyDescent="0.2">
      <c r="A181" s="35" t="s">
        <v>163</v>
      </c>
      <c r="B181" s="37">
        <v>4.4299999999999999E-5</v>
      </c>
      <c r="C181" s="35"/>
      <c r="D181" s="35"/>
      <c r="E181" s="35" t="s">
        <v>13</v>
      </c>
      <c r="F181" s="35" t="s">
        <v>44</v>
      </c>
      <c r="G181" s="35" t="s">
        <v>45</v>
      </c>
      <c r="H181" s="40" t="s">
        <v>46</v>
      </c>
      <c r="I181" s="35"/>
      <c r="L181" s="12"/>
      <c r="M181" s="12"/>
      <c r="N181" s="12"/>
      <c r="O181" s="12"/>
      <c r="P181" s="12"/>
      <c r="Q181" s="12"/>
      <c r="R181" s="12"/>
    </row>
    <row r="182" spans="1:21" s="8" customFormat="1" ht="15.5" customHeight="1" x14ac:dyDescent="0.2">
      <c r="A182" s="35" t="s">
        <v>164</v>
      </c>
      <c r="B182" s="42">
        <v>2172.2550000000001</v>
      </c>
      <c r="C182" s="35"/>
      <c r="D182" s="35"/>
      <c r="E182" s="35" t="s">
        <v>13</v>
      </c>
      <c r="F182" s="35" t="s">
        <v>44</v>
      </c>
      <c r="G182" s="35" t="s">
        <v>45</v>
      </c>
      <c r="H182" s="40" t="s">
        <v>46</v>
      </c>
      <c r="I182" s="35"/>
      <c r="L182" s="12"/>
      <c r="M182" s="12"/>
      <c r="N182" s="12"/>
      <c r="O182" s="12"/>
      <c r="P182" s="12"/>
      <c r="Q182" s="12"/>
      <c r="R182" s="12"/>
    </row>
    <row r="183" spans="1:21" s="8" customFormat="1" ht="15.5" customHeight="1" x14ac:dyDescent="0.2">
      <c r="A183" s="35" t="s">
        <v>165</v>
      </c>
      <c r="B183" s="37">
        <v>6.7900000000000002E-2</v>
      </c>
      <c r="C183" s="35"/>
      <c r="D183" s="35"/>
      <c r="E183" s="35" t="s">
        <v>13</v>
      </c>
      <c r="F183" s="35" t="s">
        <v>44</v>
      </c>
      <c r="G183" s="35" t="s">
        <v>45</v>
      </c>
      <c r="H183" s="40" t="s">
        <v>46</v>
      </c>
      <c r="I183" s="35"/>
      <c r="L183" s="12"/>
      <c r="M183" s="12"/>
      <c r="N183" s="12"/>
      <c r="O183" s="12"/>
      <c r="P183" s="12"/>
      <c r="Q183" s="12"/>
      <c r="R183" s="12"/>
    </row>
    <row r="184" spans="1:21" s="8" customFormat="1" ht="15" customHeight="1" x14ac:dyDescent="0.2">
      <c r="B184" s="9"/>
      <c r="L184" s="9"/>
      <c r="M184" s="9"/>
      <c r="N184" s="9"/>
      <c r="O184" s="9"/>
      <c r="P184" s="9"/>
      <c r="Q184" s="9"/>
    </row>
    <row r="185" spans="1:21" s="8" customFormat="1" ht="15.5" customHeight="1" x14ac:dyDescent="0.2">
      <c r="A185" s="47" t="s">
        <v>3</v>
      </c>
      <c r="B185" s="78" t="s">
        <v>166</v>
      </c>
      <c r="C185" s="48"/>
      <c r="D185" s="49"/>
      <c r="E185" s="48"/>
      <c r="F185" s="48"/>
      <c r="G185" s="48"/>
      <c r="H185" s="48"/>
      <c r="I185" s="48"/>
      <c r="L185" s="9"/>
      <c r="M185" s="9"/>
      <c r="N185" s="9"/>
      <c r="O185" s="9"/>
      <c r="P185" s="9"/>
      <c r="Q185" s="9"/>
    </row>
    <row r="186" spans="1:21" s="8" customFormat="1" ht="15" customHeight="1" x14ac:dyDescent="0.2">
      <c r="A186" s="50" t="s">
        <v>5</v>
      </c>
      <c r="B186" s="79">
        <v>1</v>
      </c>
      <c r="C186" s="48"/>
      <c r="D186" s="48"/>
      <c r="E186" s="48"/>
      <c r="F186" s="48"/>
      <c r="G186" s="48"/>
      <c r="H186" s="48"/>
      <c r="I186" s="48"/>
      <c r="L186" s="9"/>
      <c r="M186" s="9"/>
      <c r="N186" s="9"/>
      <c r="O186" s="9"/>
      <c r="P186" s="9"/>
      <c r="Q186" s="9"/>
    </row>
    <row r="187" spans="1:21" s="8" customFormat="1" ht="15" customHeight="1" x14ac:dyDescent="0.2">
      <c r="A187" s="50" t="s">
        <v>6</v>
      </c>
      <c r="B187" s="79" t="s">
        <v>167</v>
      </c>
      <c r="C187" s="48"/>
      <c r="D187" s="48"/>
      <c r="E187" s="48"/>
      <c r="F187" s="48"/>
      <c r="G187" s="48"/>
      <c r="H187" s="48"/>
      <c r="I187" s="48"/>
      <c r="L187" s="9"/>
      <c r="M187" s="9"/>
      <c r="N187" s="9"/>
      <c r="O187" s="9"/>
      <c r="P187" s="9"/>
      <c r="Q187" s="9"/>
    </row>
    <row r="188" spans="1:21" s="8" customFormat="1" ht="15" customHeight="1" x14ac:dyDescent="0.2">
      <c r="A188" s="50" t="s">
        <v>8</v>
      </c>
      <c r="B188" s="80" t="s">
        <v>168</v>
      </c>
      <c r="C188" s="48"/>
      <c r="D188" s="48"/>
      <c r="E188" s="48"/>
      <c r="F188" s="48"/>
      <c r="G188" s="48"/>
      <c r="H188" s="48"/>
      <c r="I188" s="48"/>
      <c r="L188" s="9"/>
      <c r="M188" s="9"/>
      <c r="N188" s="9"/>
      <c r="O188" s="9"/>
      <c r="P188" s="9"/>
      <c r="Q188" s="9"/>
    </row>
    <row r="189" spans="1:21" s="8" customFormat="1" ht="15" customHeight="1" x14ac:dyDescent="0.2">
      <c r="A189" s="50" t="s">
        <v>10</v>
      </c>
      <c r="B189" s="79" t="s">
        <v>467</v>
      </c>
      <c r="C189" s="48"/>
      <c r="D189" s="48"/>
      <c r="E189" s="48"/>
      <c r="F189" s="48"/>
      <c r="G189" s="48"/>
      <c r="H189" s="48"/>
      <c r="I189" s="48"/>
      <c r="L189" s="9"/>
      <c r="M189" s="9"/>
      <c r="N189" s="9"/>
      <c r="O189" s="9"/>
      <c r="P189" s="9"/>
      <c r="Q189" s="9"/>
    </row>
    <row r="190" spans="1:21" s="8" customFormat="1" ht="15.5" customHeight="1" x14ac:dyDescent="0.2">
      <c r="A190" s="50" t="s">
        <v>12</v>
      </c>
      <c r="B190" s="54" t="s">
        <v>13</v>
      </c>
      <c r="C190" s="48"/>
      <c r="D190" s="48"/>
      <c r="E190" s="48"/>
      <c r="F190" s="48"/>
      <c r="G190" s="48"/>
      <c r="H190" s="48"/>
      <c r="I190" s="52"/>
      <c r="J190" s="10"/>
      <c r="K190" s="10"/>
      <c r="L190" s="9"/>
      <c r="M190" s="9"/>
      <c r="N190" s="9"/>
      <c r="O190" s="9"/>
      <c r="P190" s="9"/>
      <c r="Q190" s="9"/>
    </row>
    <row r="191" spans="1:21" s="8" customFormat="1" ht="15.5" customHeight="1" x14ac:dyDescent="0.2">
      <c r="A191" s="52" t="s">
        <v>14</v>
      </c>
      <c r="B191" s="78"/>
      <c r="C191" s="52"/>
      <c r="D191" s="52"/>
      <c r="E191" s="52"/>
      <c r="F191" s="52"/>
      <c r="G191" s="52"/>
      <c r="H191" s="52"/>
      <c r="I191" s="49"/>
      <c r="J191" s="7"/>
      <c r="K191" s="7"/>
      <c r="L191" s="9"/>
      <c r="M191" s="9"/>
      <c r="N191" s="9"/>
      <c r="O191" s="9"/>
      <c r="P191" s="9"/>
      <c r="Q191" s="9"/>
    </row>
    <row r="192" spans="1:21" s="8" customFormat="1" ht="15.5" customHeight="1" x14ac:dyDescent="0.2">
      <c r="A192" s="52" t="s">
        <v>15</v>
      </c>
      <c r="B192" s="78" t="s">
        <v>16</v>
      </c>
      <c r="C192" s="52" t="s">
        <v>8</v>
      </c>
      <c r="D192" s="52" t="s">
        <v>10</v>
      </c>
      <c r="E192" s="52" t="s">
        <v>12</v>
      </c>
      <c r="F192" s="52" t="s">
        <v>17</v>
      </c>
      <c r="G192" s="52" t="s">
        <v>18</v>
      </c>
      <c r="H192" s="51" t="s">
        <v>19</v>
      </c>
      <c r="I192" s="53" t="s">
        <v>6</v>
      </c>
      <c r="J192" s="10"/>
      <c r="K192" s="6"/>
      <c r="L192" s="11"/>
      <c r="M192" s="11"/>
      <c r="N192" s="11"/>
      <c r="O192" s="11"/>
      <c r="P192" s="11"/>
      <c r="Q192" s="11"/>
      <c r="R192" s="6"/>
      <c r="S192" s="6"/>
      <c r="T192" s="10"/>
      <c r="U192" s="6"/>
    </row>
    <row r="193" spans="1:19" s="8" customFormat="1" ht="15.5" customHeight="1" x14ac:dyDescent="0.2">
      <c r="A193" s="51" t="s">
        <v>166</v>
      </c>
      <c r="B193" s="54">
        <v>1</v>
      </c>
      <c r="C193" s="48" t="s">
        <v>168</v>
      </c>
      <c r="D193" s="48" t="s">
        <v>467</v>
      </c>
      <c r="E193" s="48" t="s">
        <v>13</v>
      </c>
      <c r="F193" s="49"/>
      <c r="G193" s="48" t="s">
        <v>20</v>
      </c>
      <c r="H193" s="51" t="s">
        <v>2</v>
      </c>
      <c r="I193" s="49"/>
      <c r="J193" s="7"/>
      <c r="L193" s="9"/>
      <c r="M193" s="9"/>
      <c r="N193" s="9"/>
      <c r="O193" s="9"/>
      <c r="P193" s="9"/>
      <c r="Q193" s="9"/>
    </row>
    <row r="194" spans="1:19" s="8" customFormat="1" ht="15.5" customHeight="1" x14ac:dyDescent="0.2">
      <c r="A194" s="51" t="s">
        <v>169</v>
      </c>
      <c r="B194" s="51">
        <v>9.3914350112697222E-7</v>
      </c>
      <c r="C194" s="48" t="s">
        <v>170</v>
      </c>
      <c r="D194" s="48" t="s">
        <v>11</v>
      </c>
      <c r="E194" s="48" t="s">
        <v>12</v>
      </c>
      <c r="F194" s="48"/>
      <c r="G194" s="48" t="s">
        <v>23</v>
      </c>
      <c r="H194" s="48" t="s">
        <v>2</v>
      </c>
      <c r="I194" s="48" t="s">
        <v>171</v>
      </c>
      <c r="L194" s="12"/>
      <c r="M194" s="12"/>
      <c r="N194" s="12"/>
      <c r="O194" s="12"/>
      <c r="P194" s="12"/>
      <c r="Q194" s="12"/>
    </row>
    <row r="195" spans="1:19" s="8" customFormat="1" ht="15.5" customHeight="1" x14ac:dyDescent="0.2">
      <c r="A195" s="51" t="s">
        <v>172</v>
      </c>
      <c r="B195" s="51">
        <v>2.3478587528174311E-7</v>
      </c>
      <c r="C195" s="48" t="s">
        <v>173</v>
      </c>
      <c r="D195" s="48" t="s">
        <v>11</v>
      </c>
      <c r="E195" s="48" t="s">
        <v>12</v>
      </c>
      <c r="F195" s="48"/>
      <c r="G195" s="48" t="s">
        <v>23</v>
      </c>
      <c r="H195" s="48" t="s">
        <v>2</v>
      </c>
      <c r="I195" s="48" t="s">
        <v>174</v>
      </c>
      <c r="L195" s="12"/>
      <c r="M195" s="12"/>
      <c r="N195" s="12"/>
      <c r="O195" s="12"/>
      <c r="P195" s="12"/>
      <c r="Q195" s="12"/>
    </row>
    <row r="196" spans="1:19" s="8" customFormat="1" ht="15.5" customHeight="1" x14ac:dyDescent="0.2">
      <c r="A196" s="51" t="s">
        <v>175</v>
      </c>
      <c r="B196" s="51">
        <v>-9.3914350112697222E-7</v>
      </c>
      <c r="C196" s="48" t="s">
        <v>176</v>
      </c>
      <c r="D196" s="48" t="s">
        <v>11</v>
      </c>
      <c r="E196" s="48" t="s">
        <v>12</v>
      </c>
      <c r="F196" s="48"/>
      <c r="G196" s="48" t="s">
        <v>23</v>
      </c>
      <c r="H196" s="48" t="s">
        <v>2</v>
      </c>
      <c r="I196" s="48" t="s">
        <v>30</v>
      </c>
      <c r="L196" s="12"/>
      <c r="M196" s="12"/>
      <c r="N196" s="12"/>
      <c r="O196" s="12"/>
      <c r="P196" s="12"/>
      <c r="Q196" s="12"/>
    </row>
    <row r="197" spans="1:19" s="8" customFormat="1" ht="15.5" customHeight="1" x14ac:dyDescent="0.2">
      <c r="A197" s="51" t="s">
        <v>177</v>
      </c>
      <c r="B197" s="51">
        <v>-2.3478587528174311E-7</v>
      </c>
      <c r="C197" s="48" t="s">
        <v>178</v>
      </c>
      <c r="D197" s="48" t="s">
        <v>11</v>
      </c>
      <c r="E197" s="48" t="s">
        <v>12</v>
      </c>
      <c r="F197" s="48"/>
      <c r="G197" s="48" t="s">
        <v>23</v>
      </c>
      <c r="H197" s="48" t="s">
        <v>2</v>
      </c>
      <c r="I197" s="48" t="s">
        <v>34</v>
      </c>
      <c r="L197" s="12"/>
      <c r="M197" s="12"/>
      <c r="N197" s="12"/>
      <c r="O197" s="12"/>
      <c r="P197" s="12"/>
      <c r="Q197" s="12"/>
    </row>
    <row r="198" spans="1:19" s="8" customFormat="1" ht="15.5" customHeight="1" x14ac:dyDescent="0.2">
      <c r="A198" s="50" t="s">
        <v>36</v>
      </c>
      <c r="B198" s="54">
        <v>51.8</v>
      </c>
      <c r="C198" s="48" t="s">
        <v>36</v>
      </c>
      <c r="D198" s="48" t="s">
        <v>467</v>
      </c>
      <c r="E198" s="48" t="s">
        <v>37</v>
      </c>
      <c r="F198" s="49"/>
      <c r="G198" s="48" t="s">
        <v>23</v>
      </c>
      <c r="H198" s="48" t="s">
        <v>38</v>
      </c>
      <c r="I198" s="49" t="s">
        <v>179</v>
      </c>
      <c r="L198" s="12"/>
      <c r="M198" s="12"/>
      <c r="N198" s="12"/>
      <c r="O198" s="12"/>
      <c r="P198" s="12"/>
      <c r="Q198" s="12"/>
    </row>
    <row r="199" spans="1:19" s="8" customFormat="1" ht="15.5" customHeight="1" x14ac:dyDescent="0.2">
      <c r="A199" s="50" t="s">
        <v>180</v>
      </c>
      <c r="B199" s="51">
        <v>3.7000000000000002E-3</v>
      </c>
      <c r="C199" s="50" t="s">
        <v>180</v>
      </c>
      <c r="D199" s="48" t="s">
        <v>11</v>
      </c>
      <c r="E199" s="48" t="s">
        <v>13</v>
      </c>
      <c r="F199" s="49"/>
      <c r="G199" s="48" t="s">
        <v>23</v>
      </c>
      <c r="H199" s="48" t="s">
        <v>38</v>
      </c>
      <c r="I199" s="49" t="s">
        <v>181</v>
      </c>
      <c r="L199" s="12"/>
      <c r="M199" s="12"/>
      <c r="N199" s="12"/>
      <c r="O199" s="12"/>
      <c r="P199" s="12"/>
      <c r="Q199" s="12"/>
    </row>
    <row r="200" spans="1:19" s="8" customFormat="1" ht="15.5" customHeight="1" x14ac:dyDescent="0.2">
      <c r="A200" s="50" t="s">
        <v>468</v>
      </c>
      <c r="B200" s="54">
        <v>14</v>
      </c>
      <c r="C200" s="48" t="s">
        <v>468</v>
      </c>
      <c r="D200" s="48" t="s">
        <v>467</v>
      </c>
      <c r="E200" s="48" t="s">
        <v>13</v>
      </c>
      <c r="F200" s="48"/>
      <c r="G200" s="48" t="s">
        <v>23</v>
      </c>
      <c r="H200" s="48" t="s">
        <v>38</v>
      </c>
      <c r="I200" s="55" t="s">
        <v>42</v>
      </c>
      <c r="L200" s="12"/>
      <c r="M200" s="12"/>
      <c r="N200" s="12"/>
      <c r="O200" s="12"/>
      <c r="P200" s="12"/>
      <c r="Q200" s="12"/>
    </row>
    <row r="201" spans="1:19" s="8" customFormat="1" ht="15.5" customHeight="1" x14ac:dyDescent="0.2">
      <c r="A201" s="56" t="s">
        <v>43</v>
      </c>
      <c r="B201" s="80">
        <v>8</v>
      </c>
      <c r="C201" s="56"/>
      <c r="D201" s="56"/>
      <c r="E201" s="56" t="s">
        <v>13</v>
      </c>
      <c r="F201" s="56" t="s">
        <v>44</v>
      </c>
      <c r="G201" s="56" t="s">
        <v>45</v>
      </c>
      <c r="H201" s="56" t="s">
        <v>46</v>
      </c>
      <c r="I201" s="56"/>
      <c r="L201" s="12"/>
      <c r="M201" s="12"/>
      <c r="N201" s="12"/>
      <c r="O201" s="12"/>
      <c r="P201" s="12"/>
      <c r="Q201" s="12"/>
      <c r="R201" s="12"/>
    </row>
    <row r="202" spans="1:19" s="8" customFormat="1" ht="15.5" customHeight="1" x14ac:dyDescent="0.2">
      <c r="A202" s="56" t="s">
        <v>47</v>
      </c>
      <c r="B202" s="51">
        <v>7.7479338842975209E-4</v>
      </c>
      <c r="C202" s="48"/>
      <c r="D202" s="56"/>
      <c r="E202" s="56" t="s">
        <v>48</v>
      </c>
      <c r="F202" s="56" t="s">
        <v>49</v>
      </c>
      <c r="G202" s="56" t="s">
        <v>45</v>
      </c>
      <c r="H202" s="56" t="s">
        <v>46</v>
      </c>
      <c r="I202" s="56" t="s">
        <v>182</v>
      </c>
      <c r="J202" s="8">
        <v>2</v>
      </c>
      <c r="K202">
        <v>-7.1629141597283583</v>
      </c>
      <c r="L202" s="12">
        <v>1.05</v>
      </c>
      <c r="M202" s="12">
        <v>1.1000000000000001</v>
      </c>
      <c r="N202" s="12">
        <v>1</v>
      </c>
      <c r="O202" s="12">
        <v>1.02</v>
      </c>
      <c r="P202" s="12">
        <v>1.2</v>
      </c>
      <c r="Q202" s="12">
        <v>1.2</v>
      </c>
      <c r="R202" s="12">
        <v>1.5</v>
      </c>
      <c r="S202">
        <v>0.24634371748562631</v>
      </c>
    </row>
    <row r="203" spans="1:19" s="8" customFormat="1" ht="15.5" customHeight="1" x14ac:dyDescent="0.2">
      <c r="A203" s="56" t="s">
        <v>51</v>
      </c>
      <c r="B203" s="51">
        <v>2.817430503380917E-5</v>
      </c>
      <c r="C203" s="48"/>
      <c r="D203" s="56"/>
      <c r="E203" s="56" t="s">
        <v>52</v>
      </c>
      <c r="F203" s="56" t="s">
        <v>49</v>
      </c>
      <c r="G203" s="56" t="s">
        <v>45</v>
      </c>
      <c r="H203" s="56" t="s">
        <v>46</v>
      </c>
      <c r="I203" s="56" t="s">
        <v>183</v>
      </c>
      <c r="J203" s="8">
        <v>2</v>
      </c>
      <c r="K203">
        <v>-10.477100164400881</v>
      </c>
      <c r="L203" s="12">
        <v>1.05</v>
      </c>
      <c r="M203" s="12">
        <v>1.1000000000000001</v>
      </c>
      <c r="N203" s="12">
        <v>1</v>
      </c>
      <c r="O203" s="12">
        <v>1.02</v>
      </c>
      <c r="P203" s="12">
        <v>1.2</v>
      </c>
      <c r="Q203" s="12">
        <v>1.2</v>
      </c>
      <c r="R203" s="12">
        <v>1.5</v>
      </c>
      <c r="S203">
        <v>0.24634371748562631</v>
      </c>
    </row>
    <row r="204" spans="1:19" s="8" customFormat="1" ht="15.5" customHeight="1" x14ac:dyDescent="0.2">
      <c r="A204" s="56" t="s">
        <v>54</v>
      </c>
      <c r="B204" s="51">
        <v>2.817430503380917E-5</v>
      </c>
      <c r="C204" s="48"/>
      <c r="D204" s="56"/>
      <c r="E204" s="56" t="s">
        <v>52</v>
      </c>
      <c r="F204" s="56" t="s">
        <v>49</v>
      </c>
      <c r="G204" s="56" t="s">
        <v>45</v>
      </c>
      <c r="H204" s="56" t="s">
        <v>46</v>
      </c>
      <c r="I204" s="56" t="s">
        <v>183</v>
      </c>
      <c r="J204" s="8">
        <v>2</v>
      </c>
      <c r="K204">
        <v>-10.477100164400881</v>
      </c>
      <c r="L204" s="12">
        <v>1.05</v>
      </c>
      <c r="M204" s="12">
        <v>1.1000000000000001</v>
      </c>
      <c r="N204" s="12">
        <v>1</v>
      </c>
      <c r="O204" s="12">
        <v>1.02</v>
      </c>
      <c r="P204" s="12">
        <v>1.2</v>
      </c>
      <c r="Q204" s="12">
        <v>1.2</v>
      </c>
      <c r="R204" s="12">
        <v>1.5</v>
      </c>
      <c r="S204">
        <v>0.24634371748562631</v>
      </c>
    </row>
    <row r="205" spans="1:19" s="8" customFormat="1" ht="15" customHeight="1" x14ac:dyDescent="0.2">
      <c r="B205" s="9"/>
      <c r="L205" s="9"/>
      <c r="M205" s="9"/>
      <c r="N205" s="9"/>
      <c r="O205" s="9"/>
      <c r="P205" s="9"/>
      <c r="Q205" s="9"/>
    </row>
    <row r="206" spans="1:19" s="8" customFormat="1" ht="15.5" customHeight="1" x14ac:dyDescent="0.2">
      <c r="A206" s="47" t="s">
        <v>3</v>
      </c>
      <c r="B206" s="78" t="s">
        <v>169</v>
      </c>
      <c r="C206" s="48"/>
      <c r="D206" s="48"/>
      <c r="E206" s="48"/>
      <c r="F206" s="48"/>
      <c r="G206" s="48"/>
      <c r="H206" s="48"/>
      <c r="I206" s="48"/>
      <c r="L206" s="9"/>
      <c r="M206" s="9"/>
      <c r="N206" s="9"/>
      <c r="O206" s="9"/>
      <c r="P206" s="9"/>
      <c r="Q206" s="9"/>
    </row>
    <row r="207" spans="1:19" s="8" customFormat="1" ht="15" customHeight="1" x14ac:dyDescent="0.2">
      <c r="A207" s="50" t="s">
        <v>5</v>
      </c>
      <c r="B207" s="79">
        <v>1</v>
      </c>
      <c r="C207" s="48"/>
      <c r="D207" s="48"/>
      <c r="E207" s="48"/>
      <c r="F207" s="48"/>
      <c r="G207" s="48"/>
      <c r="H207" s="48"/>
      <c r="I207" s="48"/>
      <c r="L207" s="9"/>
      <c r="M207" s="9"/>
      <c r="N207" s="9"/>
      <c r="O207" s="9"/>
      <c r="P207" s="9"/>
      <c r="Q207" s="9"/>
    </row>
    <row r="208" spans="1:19" s="8" customFormat="1" ht="15" customHeight="1" x14ac:dyDescent="0.2">
      <c r="A208" s="50" t="s">
        <v>6</v>
      </c>
      <c r="B208" s="79" t="s">
        <v>184</v>
      </c>
      <c r="C208" s="48"/>
      <c r="D208" s="48"/>
      <c r="E208" s="48"/>
      <c r="F208" s="48"/>
      <c r="G208" s="48"/>
      <c r="H208" s="48"/>
      <c r="I208" s="48"/>
      <c r="L208" s="9"/>
      <c r="M208" s="9"/>
      <c r="N208" s="9"/>
      <c r="O208" s="9"/>
      <c r="P208" s="9"/>
      <c r="Q208" s="9"/>
    </row>
    <row r="209" spans="1:21" s="8" customFormat="1" ht="15" customHeight="1" x14ac:dyDescent="0.2">
      <c r="A209" s="50" t="s">
        <v>8</v>
      </c>
      <c r="B209" s="54" t="s">
        <v>170</v>
      </c>
      <c r="C209" s="48"/>
      <c r="D209" s="48"/>
      <c r="E209" s="48"/>
      <c r="F209" s="48"/>
      <c r="G209" s="48"/>
      <c r="H209" s="48"/>
      <c r="I209" s="48"/>
      <c r="L209" s="9"/>
      <c r="M209" s="9"/>
      <c r="N209" s="9"/>
      <c r="O209" s="9"/>
      <c r="P209" s="9"/>
      <c r="Q209" s="9"/>
    </row>
    <row r="210" spans="1:21" s="8" customFormat="1" ht="15" customHeight="1" x14ac:dyDescent="0.2">
      <c r="A210" s="50" t="s">
        <v>10</v>
      </c>
      <c r="B210" s="79" t="s">
        <v>11</v>
      </c>
      <c r="C210" s="48"/>
      <c r="D210" s="48"/>
      <c r="E210" s="48"/>
      <c r="F210" s="48"/>
      <c r="G210" s="48"/>
      <c r="H210" s="48"/>
      <c r="I210" s="48"/>
      <c r="L210" s="9"/>
      <c r="M210" s="9"/>
      <c r="N210" s="9"/>
      <c r="O210" s="9"/>
      <c r="P210" s="9"/>
      <c r="Q210" s="9"/>
    </row>
    <row r="211" spans="1:21" s="8" customFormat="1" ht="15" customHeight="1" x14ac:dyDescent="0.2">
      <c r="A211" s="50" t="s">
        <v>12</v>
      </c>
      <c r="B211" s="54" t="s">
        <v>12</v>
      </c>
      <c r="C211" s="48"/>
      <c r="D211" s="48"/>
      <c r="E211" s="48"/>
      <c r="F211" s="48"/>
      <c r="G211" s="48"/>
      <c r="H211" s="48"/>
      <c r="I211" s="48"/>
      <c r="L211" s="9"/>
      <c r="M211" s="9"/>
      <c r="N211" s="9"/>
      <c r="O211" s="9"/>
      <c r="P211" s="9"/>
      <c r="Q211" s="9"/>
    </row>
    <row r="212" spans="1:21" s="8" customFormat="1" ht="15.5" customHeight="1" x14ac:dyDescent="0.2">
      <c r="A212" s="52" t="s">
        <v>14</v>
      </c>
      <c r="B212" s="78"/>
      <c r="C212" s="52"/>
      <c r="D212" s="52"/>
      <c r="E212" s="52"/>
      <c r="F212" s="52"/>
      <c r="G212" s="52"/>
      <c r="H212" s="52"/>
      <c r="I212" s="52"/>
      <c r="J212" s="10"/>
      <c r="K212" s="10"/>
      <c r="L212" s="9"/>
      <c r="M212" s="9"/>
      <c r="N212" s="9"/>
      <c r="O212" s="9"/>
      <c r="P212" s="9"/>
      <c r="Q212" s="9"/>
    </row>
    <row r="213" spans="1:21" s="8" customFormat="1" ht="15.5" customHeight="1" x14ac:dyDescent="0.2">
      <c r="A213" s="52" t="s">
        <v>15</v>
      </c>
      <c r="B213" s="78" t="s">
        <v>16</v>
      </c>
      <c r="C213" s="52" t="s">
        <v>8</v>
      </c>
      <c r="D213" s="52" t="s">
        <v>10</v>
      </c>
      <c r="E213" s="52" t="s">
        <v>12</v>
      </c>
      <c r="F213" s="53" t="s">
        <v>17</v>
      </c>
      <c r="G213" s="52" t="s">
        <v>18</v>
      </c>
      <c r="H213" s="51" t="s">
        <v>19</v>
      </c>
      <c r="I213" s="53" t="s">
        <v>6</v>
      </c>
      <c r="J213" s="10"/>
      <c r="K213" s="6"/>
      <c r="L213" s="11"/>
      <c r="M213" s="11"/>
      <c r="N213" s="11"/>
      <c r="O213" s="11"/>
      <c r="P213" s="11"/>
      <c r="Q213" s="11"/>
      <c r="R213" s="6"/>
      <c r="S213" s="6"/>
      <c r="T213" s="10"/>
      <c r="U213" s="6"/>
    </row>
    <row r="214" spans="1:21" s="8" customFormat="1" ht="15" customHeight="1" x14ac:dyDescent="0.2">
      <c r="A214" s="51" t="s">
        <v>169</v>
      </c>
      <c r="B214" s="54">
        <v>1</v>
      </c>
      <c r="C214" s="48" t="s">
        <v>170</v>
      </c>
      <c r="D214" s="48" t="s">
        <v>11</v>
      </c>
      <c r="E214" s="48" t="s">
        <v>12</v>
      </c>
      <c r="F214" s="48"/>
      <c r="G214" s="48" t="s">
        <v>20</v>
      </c>
      <c r="H214" s="51" t="s">
        <v>2</v>
      </c>
      <c r="I214" s="48"/>
      <c r="L214" s="9"/>
      <c r="M214" s="9"/>
      <c r="N214" s="9"/>
      <c r="O214" s="9"/>
      <c r="P214" s="9"/>
      <c r="Q214" s="9"/>
    </row>
    <row r="215" spans="1:21" s="8" customFormat="1" ht="15.5" customHeight="1" x14ac:dyDescent="0.2">
      <c r="A215" s="48" t="s">
        <v>61</v>
      </c>
      <c r="B215" s="54">
        <v>144.19999999999999</v>
      </c>
      <c r="C215" s="48" t="s">
        <v>61</v>
      </c>
      <c r="D215" s="48" t="s">
        <v>11</v>
      </c>
      <c r="E215" s="48" t="s">
        <v>13</v>
      </c>
      <c r="F215" s="48"/>
      <c r="G215" s="48" t="s">
        <v>23</v>
      </c>
      <c r="H215" s="48" t="s">
        <v>38</v>
      </c>
      <c r="I215" s="48" t="s">
        <v>77</v>
      </c>
      <c r="L215" s="12"/>
      <c r="M215" s="12"/>
      <c r="N215" s="12"/>
      <c r="O215" s="12"/>
      <c r="P215" s="12"/>
      <c r="Q215" s="12"/>
    </row>
    <row r="216" spans="1:21" s="8" customFormat="1" ht="15.5" customHeight="1" x14ac:dyDescent="0.2">
      <c r="A216" s="48" t="s">
        <v>73</v>
      </c>
      <c r="B216" s="54">
        <v>20194.400000000001</v>
      </c>
      <c r="C216" s="48" t="s">
        <v>73</v>
      </c>
      <c r="D216" s="48" t="s">
        <v>11</v>
      </c>
      <c r="E216" s="48" t="s">
        <v>13</v>
      </c>
      <c r="F216" s="48"/>
      <c r="G216" s="48" t="s">
        <v>23</v>
      </c>
      <c r="H216" s="48" t="s">
        <v>38</v>
      </c>
      <c r="I216" s="48" t="s">
        <v>185</v>
      </c>
      <c r="L216" s="12"/>
      <c r="M216" s="12"/>
      <c r="N216" s="12"/>
      <c r="O216" s="12"/>
      <c r="P216" s="12"/>
      <c r="Q216" s="12"/>
    </row>
    <row r="217" spans="1:21" s="8" customFormat="1" ht="15.5" customHeight="1" x14ac:dyDescent="0.2">
      <c r="A217" s="48" t="s">
        <v>75</v>
      </c>
      <c r="B217" s="54">
        <v>20194.400000000001</v>
      </c>
      <c r="C217" s="48" t="s">
        <v>75</v>
      </c>
      <c r="D217" s="48" t="s">
        <v>11</v>
      </c>
      <c r="E217" s="48" t="s">
        <v>13</v>
      </c>
      <c r="F217" s="48"/>
      <c r="G217" s="48" t="s">
        <v>23</v>
      </c>
      <c r="H217" s="48" t="s">
        <v>38</v>
      </c>
      <c r="I217" s="48" t="s">
        <v>185</v>
      </c>
      <c r="L217" s="12"/>
      <c r="M217" s="12"/>
      <c r="N217" s="12"/>
      <c r="O217" s="12"/>
      <c r="P217" s="12"/>
      <c r="Q217" s="12"/>
    </row>
    <row r="218" spans="1:21" s="8" customFormat="1" ht="15.5" customHeight="1" x14ac:dyDescent="0.2">
      <c r="A218" s="48" t="s">
        <v>186</v>
      </c>
      <c r="B218" s="54">
        <v>2884.9</v>
      </c>
      <c r="C218" s="48" t="s">
        <v>186</v>
      </c>
      <c r="D218" s="48" t="s">
        <v>64</v>
      </c>
      <c r="E218" s="48" t="s">
        <v>13</v>
      </c>
      <c r="F218" s="48"/>
      <c r="G218" s="48" t="s">
        <v>23</v>
      </c>
      <c r="H218" s="48" t="s">
        <v>38</v>
      </c>
      <c r="I218" s="48" t="s">
        <v>185</v>
      </c>
      <c r="L218" s="12"/>
      <c r="M218" s="12"/>
      <c r="N218" s="12"/>
      <c r="O218" s="12"/>
      <c r="P218" s="12"/>
      <c r="Q218" s="12"/>
    </row>
    <row r="219" spans="1:21" s="8" customFormat="1" ht="15.5" customHeight="1" x14ac:dyDescent="0.2">
      <c r="A219" s="48" t="s">
        <v>187</v>
      </c>
      <c r="B219" s="54">
        <v>48.8</v>
      </c>
      <c r="C219" s="49" t="s">
        <v>187</v>
      </c>
      <c r="D219" s="48" t="s">
        <v>64</v>
      </c>
      <c r="E219" s="48" t="s">
        <v>13</v>
      </c>
      <c r="F219" s="49"/>
      <c r="G219" s="48" t="s">
        <v>23</v>
      </c>
      <c r="H219" s="48" t="s">
        <v>38</v>
      </c>
      <c r="I219" s="48" t="s">
        <v>188</v>
      </c>
      <c r="L219" s="12"/>
      <c r="M219" s="12"/>
      <c r="N219" s="12"/>
      <c r="O219" s="12"/>
      <c r="P219" s="12"/>
      <c r="Q219" s="12"/>
    </row>
    <row r="220" spans="1:21" s="8" customFormat="1" ht="15.5" customHeight="1" x14ac:dyDescent="0.2">
      <c r="A220" s="48" t="s">
        <v>189</v>
      </c>
      <c r="B220" s="54">
        <v>73</v>
      </c>
      <c r="C220" s="49" t="s">
        <v>189</v>
      </c>
      <c r="D220" s="48" t="s">
        <v>190</v>
      </c>
      <c r="E220" s="48" t="s">
        <v>13</v>
      </c>
      <c r="F220" s="49"/>
      <c r="G220" s="48" t="s">
        <v>23</v>
      </c>
      <c r="H220" s="48" t="s">
        <v>38</v>
      </c>
      <c r="I220" s="48" t="s">
        <v>188</v>
      </c>
      <c r="L220" s="12"/>
      <c r="M220" s="12"/>
      <c r="N220" s="12"/>
      <c r="O220" s="12"/>
      <c r="P220" s="12"/>
      <c r="Q220" s="12"/>
    </row>
    <row r="221" spans="1:21" s="8" customFormat="1" ht="15.5" customHeight="1" x14ac:dyDescent="0.2">
      <c r="A221" s="48" t="s">
        <v>36</v>
      </c>
      <c r="B221" s="54">
        <v>95553.31568</v>
      </c>
      <c r="C221" s="49" t="s">
        <v>36</v>
      </c>
      <c r="D221" s="48" t="s">
        <v>64</v>
      </c>
      <c r="E221" s="48" t="s">
        <v>37</v>
      </c>
      <c r="F221" s="49"/>
      <c r="G221" s="48" t="s">
        <v>23</v>
      </c>
      <c r="H221" s="48" t="s">
        <v>38</v>
      </c>
      <c r="I221" s="48" t="s">
        <v>78</v>
      </c>
      <c r="L221" s="12"/>
      <c r="M221" s="12"/>
      <c r="N221" s="12"/>
      <c r="O221" s="12"/>
      <c r="P221" s="12"/>
      <c r="Q221" s="12"/>
    </row>
    <row r="222" spans="1:21" s="8" customFormat="1" ht="15" customHeight="1" x14ac:dyDescent="0.2">
      <c r="B222" s="9"/>
      <c r="C222" s="7"/>
      <c r="G222" s="7"/>
      <c r="H222" s="7"/>
      <c r="L222" s="9"/>
      <c r="M222" s="9"/>
      <c r="N222" s="9"/>
      <c r="O222" s="9"/>
      <c r="P222" s="9"/>
      <c r="Q222" s="9"/>
    </row>
    <row r="223" spans="1:21" s="8" customFormat="1" ht="15.5" customHeight="1" x14ac:dyDescent="0.2">
      <c r="A223" s="47" t="s">
        <v>3</v>
      </c>
      <c r="B223" s="78" t="s">
        <v>175</v>
      </c>
      <c r="C223" s="48"/>
      <c r="D223" s="48"/>
      <c r="E223" s="48"/>
      <c r="F223" s="48"/>
      <c r="G223" s="48"/>
      <c r="H223" s="48"/>
      <c r="I223" s="48"/>
      <c r="L223" s="9"/>
      <c r="M223" s="9"/>
      <c r="N223" s="9"/>
      <c r="O223" s="9"/>
      <c r="P223" s="9"/>
      <c r="Q223" s="9"/>
    </row>
    <row r="224" spans="1:21" s="8" customFormat="1" ht="15" customHeight="1" x14ac:dyDescent="0.2">
      <c r="A224" s="50" t="s">
        <v>5</v>
      </c>
      <c r="B224" s="79">
        <v>1</v>
      </c>
      <c r="C224" s="48"/>
      <c r="D224" s="48"/>
      <c r="E224" s="48"/>
      <c r="F224" s="48"/>
      <c r="G224" s="48"/>
      <c r="H224" s="48"/>
      <c r="I224" s="48"/>
      <c r="L224" s="9"/>
      <c r="M224" s="9"/>
      <c r="N224" s="9"/>
      <c r="O224" s="9"/>
      <c r="P224" s="9"/>
      <c r="Q224" s="9"/>
    </row>
    <row r="225" spans="1:21" s="8" customFormat="1" ht="15" customHeight="1" x14ac:dyDescent="0.2">
      <c r="A225" s="50" t="s">
        <v>6</v>
      </c>
      <c r="B225" s="79" t="s">
        <v>55</v>
      </c>
      <c r="C225" s="48"/>
      <c r="D225" s="48"/>
      <c r="E225" s="48"/>
      <c r="F225" s="48"/>
      <c r="G225" s="48"/>
      <c r="H225" s="48"/>
      <c r="I225" s="48"/>
      <c r="L225" s="9"/>
      <c r="M225" s="9"/>
      <c r="N225" s="9"/>
      <c r="O225" s="9"/>
      <c r="P225" s="9"/>
      <c r="Q225" s="9"/>
    </row>
    <row r="226" spans="1:21" s="8" customFormat="1" ht="15" customHeight="1" x14ac:dyDescent="0.2">
      <c r="A226" s="50" t="s">
        <v>8</v>
      </c>
      <c r="B226" s="54" t="s">
        <v>176</v>
      </c>
      <c r="C226" s="48"/>
      <c r="D226" s="48"/>
      <c r="E226" s="48"/>
      <c r="F226" s="48"/>
      <c r="G226" s="48"/>
      <c r="H226" s="48"/>
      <c r="I226" s="48"/>
      <c r="L226" s="9"/>
      <c r="M226" s="9"/>
      <c r="N226" s="9"/>
      <c r="O226" s="9"/>
      <c r="P226" s="9"/>
      <c r="Q226" s="9"/>
    </row>
    <row r="227" spans="1:21" s="8" customFormat="1" ht="15" customHeight="1" x14ac:dyDescent="0.2">
      <c r="A227" s="50" t="s">
        <v>10</v>
      </c>
      <c r="B227" s="79" t="s">
        <v>11</v>
      </c>
      <c r="C227" s="48"/>
      <c r="D227" s="48"/>
      <c r="E227" s="48"/>
      <c r="F227" s="48"/>
      <c r="G227" s="48"/>
      <c r="H227" s="48"/>
      <c r="I227" s="48"/>
      <c r="L227" s="9"/>
      <c r="M227" s="9"/>
      <c r="N227" s="9"/>
      <c r="O227" s="9"/>
      <c r="P227" s="9"/>
      <c r="Q227" s="9"/>
    </row>
    <row r="228" spans="1:21" s="8" customFormat="1" ht="15" customHeight="1" x14ac:dyDescent="0.2">
      <c r="A228" s="50" t="s">
        <v>12</v>
      </c>
      <c r="B228" s="54" t="s">
        <v>12</v>
      </c>
      <c r="C228" s="48"/>
      <c r="D228" s="48"/>
      <c r="E228" s="48"/>
      <c r="F228" s="48"/>
      <c r="G228" s="48"/>
      <c r="H228" s="48"/>
      <c r="I228" s="48"/>
      <c r="L228" s="9"/>
      <c r="M228" s="9"/>
      <c r="N228" s="9"/>
      <c r="O228" s="9"/>
      <c r="P228" s="9"/>
      <c r="Q228" s="9"/>
    </row>
    <row r="229" spans="1:21" s="8" customFormat="1" ht="15.5" customHeight="1" x14ac:dyDescent="0.2">
      <c r="A229" s="52" t="s">
        <v>14</v>
      </c>
      <c r="B229" s="78"/>
      <c r="C229" s="52"/>
      <c r="D229" s="52"/>
      <c r="E229" s="52"/>
      <c r="F229" s="52"/>
      <c r="G229" s="52"/>
      <c r="H229" s="52"/>
      <c r="I229" s="52"/>
      <c r="J229" s="10"/>
      <c r="K229" s="10"/>
      <c r="L229" s="9"/>
      <c r="M229" s="9"/>
      <c r="N229" s="9"/>
      <c r="O229" s="9"/>
      <c r="P229" s="9"/>
      <c r="Q229" s="9"/>
    </row>
    <row r="230" spans="1:21" s="8" customFormat="1" ht="15.5" customHeight="1" x14ac:dyDescent="0.2">
      <c r="A230" s="52" t="s">
        <v>15</v>
      </c>
      <c r="B230" s="78" t="s">
        <v>16</v>
      </c>
      <c r="C230" s="52" t="s">
        <v>8</v>
      </c>
      <c r="D230" s="52" t="s">
        <v>10</v>
      </c>
      <c r="E230" s="52" t="s">
        <v>12</v>
      </c>
      <c r="F230" s="53" t="s">
        <v>17</v>
      </c>
      <c r="G230" s="52" t="s">
        <v>18</v>
      </c>
      <c r="H230" s="51" t="s">
        <v>19</v>
      </c>
      <c r="I230" s="53" t="s">
        <v>6</v>
      </c>
      <c r="J230" s="10"/>
      <c r="K230" s="6"/>
      <c r="L230" s="11"/>
      <c r="M230" s="11"/>
      <c r="N230" s="11"/>
      <c r="O230" s="11"/>
      <c r="P230" s="11"/>
      <c r="Q230" s="11"/>
      <c r="R230" s="6"/>
      <c r="S230" s="6"/>
      <c r="T230" s="10"/>
      <c r="U230" s="6"/>
    </row>
    <row r="231" spans="1:21" s="8" customFormat="1" ht="15" customHeight="1" x14ac:dyDescent="0.2">
      <c r="A231" s="51" t="s">
        <v>175</v>
      </c>
      <c r="B231" s="54">
        <v>-1</v>
      </c>
      <c r="C231" s="48" t="s">
        <v>176</v>
      </c>
      <c r="D231" s="48" t="s">
        <v>11</v>
      </c>
      <c r="E231" s="48" t="s">
        <v>12</v>
      </c>
      <c r="F231" s="48"/>
      <c r="G231" s="48" t="s">
        <v>20</v>
      </c>
      <c r="H231" s="51" t="s">
        <v>2</v>
      </c>
      <c r="I231" s="48"/>
      <c r="L231" s="9"/>
      <c r="M231" s="9"/>
      <c r="N231" s="9"/>
      <c r="O231" s="9"/>
      <c r="P231" s="9"/>
      <c r="Q231" s="9"/>
    </row>
    <row r="232" spans="1:21" s="8" customFormat="1" ht="15.5" customHeight="1" x14ac:dyDescent="0.2">
      <c r="A232" s="51" t="s">
        <v>81</v>
      </c>
      <c r="B232" s="54">
        <v>-60583</v>
      </c>
      <c r="C232" s="48" t="s">
        <v>81</v>
      </c>
      <c r="D232" s="48" t="s">
        <v>11</v>
      </c>
      <c r="E232" s="48" t="s">
        <v>13</v>
      </c>
      <c r="F232" s="48"/>
      <c r="G232" s="48" t="s">
        <v>23</v>
      </c>
      <c r="H232" s="48" t="s">
        <v>38</v>
      </c>
      <c r="I232" s="48"/>
      <c r="L232" s="12"/>
      <c r="M232" s="12"/>
      <c r="N232" s="12"/>
      <c r="O232" s="12"/>
      <c r="P232" s="12"/>
      <c r="Q232" s="12"/>
    </row>
    <row r="233" spans="1:21" s="8" customFormat="1" ht="15.5" customHeight="1" x14ac:dyDescent="0.2">
      <c r="A233" s="48" t="s">
        <v>84</v>
      </c>
      <c r="B233" s="54">
        <v>-579</v>
      </c>
      <c r="C233" s="48" t="s">
        <v>84</v>
      </c>
      <c r="D233" s="48" t="s">
        <v>41</v>
      </c>
      <c r="E233" s="48" t="s">
        <v>13</v>
      </c>
      <c r="F233" s="48"/>
      <c r="G233" s="48" t="s">
        <v>23</v>
      </c>
      <c r="H233" s="48" t="s">
        <v>38</v>
      </c>
      <c r="I233" s="48"/>
      <c r="L233" s="12"/>
      <c r="M233" s="12"/>
      <c r="N233" s="12"/>
      <c r="O233" s="12"/>
      <c r="P233" s="12"/>
      <c r="Q233" s="12"/>
    </row>
    <row r="234" spans="1:21" s="8" customFormat="1" ht="15" customHeight="1" x14ac:dyDescent="0.2">
      <c r="B234" s="9"/>
      <c r="L234" s="9"/>
      <c r="M234" s="9"/>
      <c r="N234" s="9"/>
      <c r="O234" s="9"/>
      <c r="P234" s="9"/>
      <c r="Q234" s="9"/>
    </row>
    <row r="235" spans="1:21" s="8" customFormat="1" ht="15.5" customHeight="1" x14ac:dyDescent="0.2">
      <c r="A235" s="47" t="s">
        <v>3</v>
      </c>
      <c r="B235" s="78" t="s">
        <v>172</v>
      </c>
      <c r="C235" s="48"/>
      <c r="D235" s="48"/>
      <c r="E235" s="48"/>
      <c r="F235" s="48"/>
      <c r="G235" s="48"/>
      <c r="H235" s="48"/>
      <c r="I235" s="48"/>
      <c r="L235" s="13"/>
      <c r="M235" s="14"/>
      <c r="N235" s="9"/>
      <c r="O235" s="9"/>
      <c r="P235" s="9"/>
      <c r="Q235" s="9"/>
    </row>
    <row r="236" spans="1:21" s="8" customFormat="1" ht="15" customHeight="1" x14ac:dyDescent="0.2">
      <c r="A236" s="50" t="s">
        <v>5</v>
      </c>
      <c r="B236" s="79">
        <v>1</v>
      </c>
      <c r="C236" s="48"/>
      <c r="D236" s="48"/>
      <c r="E236" s="48"/>
      <c r="F236" s="48"/>
      <c r="G236" s="48"/>
      <c r="H236" s="48"/>
      <c r="I236" s="48"/>
      <c r="L236" s="15"/>
      <c r="M236" s="14"/>
      <c r="N236" s="9"/>
      <c r="O236" s="9"/>
      <c r="P236" s="9"/>
      <c r="Q236" s="9"/>
    </row>
    <row r="237" spans="1:21" s="8" customFormat="1" ht="15" customHeight="1" x14ac:dyDescent="0.2">
      <c r="A237" s="50" t="s">
        <v>6</v>
      </c>
      <c r="B237" s="79" t="s">
        <v>191</v>
      </c>
      <c r="C237" s="48"/>
      <c r="D237" s="48"/>
      <c r="E237" s="48"/>
      <c r="F237" s="48"/>
      <c r="G237" s="48"/>
      <c r="H237" s="48"/>
      <c r="I237" s="48"/>
      <c r="L237" s="9"/>
      <c r="M237" s="14"/>
      <c r="N237" s="9"/>
      <c r="O237" s="9"/>
      <c r="P237" s="9"/>
      <c r="Q237" s="9"/>
    </row>
    <row r="238" spans="1:21" s="8" customFormat="1" ht="15" customHeight="1" x14ac:dyDescent="0.2">
      <c r="A238" s="50" t="s">
        <v>8</v>
      </c>
      <c r="B238" s="54" t="s">
        <v>173</v>
      </c>
      <c r="C238" s="48"/>
      <c r="D238" s="48"/>
      <c r="E238" s="48"/>
      <c r="F238" s="48"/>
      <c r="G238" s="48"/>
      <c r="H238" s="48"/>
      <c r="I238" s="48"/>
      <c r="L238" s="9"/>
      <c r="M238" s="9"/>
      <c r="N238" s="9"/>
      <c r="O238" s="9"/>
      <c r="P238" s="9"/>
      <c r="Q238" s="9"/>
    </row>
    <row r="239" spans="1:21" s="8" customFormat="1" ht="16.25" customHeight="1" x14ac:dyDescent="0.2">
      <c r="A239" s="50" t="s">
        <v>10</v>
      </c>
      <c r="B239" s="79" t="s">
        <v>11</v>
      </c>
      <c r="C239" s="48"/>
      <c r="D239" s="48"/>
      <c r="E239" s="48"/>
      <c r="F239" s="48"/>
      <c r="G239" s="48"/>
      <c r="H239" s="48"/>
      <c r="I239" s="48"/>
      <c r="L239" s="9"/>
      <c r="M239" s="9"/>
      <c r="N239" s="9"/>
      <c r="O239" s="9"/>
      <c r="P239" s="9"/>
      <c r="Q239" s="9"/>
    </row>
    <row r="240" spans="1:21" s="8" customFormat="1" ht="15.5" customHeight="1" x14ac:dyDescent="0.2">
      <c r="A240" s="50" t="s">
        <v>12</v>
      </c>
      <c r="B240" s="54" t="s">
        <v>12</v>
      </c>
      <c r="C240" s="48"/>
      <c r="D240" s="48"/>
      <c r="E240" s="48"/>
      <c r="F240" s="48"/>
      <c r="G240" s="48"/>
      <c r="H240" s="48"/>
      <c r="I240" s="52"/>
      <c r="J240" s="10"/>
      <c r="L240" s="9"/>
      <c r="M240" s="9"/>
      <c r="N240" s="9"/>
      <c r="O240" s="9"/>
      <c r="P240" s="9"/>
      <c r="Q240" s="9"/>
    </row>
    <row r="241" spans="1:21" s="8" customFormat="1" ht="15.5" customHeight="1" x14ac:dyDescent="0.2">
      <c r="A241" s="52" t="s">
        <v>14</v>
      </c>
      <c r="B241" s="78"/>
      <c r="C241" s="52"/>
      <c r="D241" s="52"/>
      <c r="E241" s="52"/>
      <c r="F241" s="52"/>
      <c r="G241" s="52"/>
      <c r="H241" s="52"/>
      <c r="I241" s="49"/>
      <c r="J241" s="7"/>
      <c r="L241" s="9"/>
      <c r="M241" s="9"/>
      <c r="N241" s="9"/>
      <c r="O241" s="9"/>
      <c r="P241" s="9"/>
      <c r="Q241" s="9"/>
    </row>
    <row r="242" spans="1:21" s="8" customFormat="1" ht="15.5" customHeight="1" x14ac:dyDescent="0.2">
      <c r="A242" s="52" t="s">
        <v>15</v>
      </c>
      <c r="B242" s="78" t="s">
        <v>16</v>
      </c>
      <c r="C242" s="52" t="s">
        <v>8</v>
      </c>
      <c r="D242" s="52" t="s">
        <v>10</v>
      </c>
      <c r="E242" s="52" t="s">
        <v>12</v>
      </c>
      <c r="F242" s="53" t="s">
        <v>17</v>
      </c>
      <c r="G242" s="52" t="s">
        <v>18</v>
      </c>
      <c r="H242" s="51" t="s">
        <v>19</v>
      </c>
      <c r="I242" s="53" t="s">
        <v>6</v>
      </c>
      <c r="J242" s="10"/>
      <c r="K242" s="6"/>
      <c r="L242" s="11"/>
      <c r="M242" s="11"/>
      <c r="N242" s="11"/>
      <c r="O242" s="11"/>
      <c r="P242" s="11"/>
      <c r="Q242" s="11"/>
      <c r="R242" s="6"/>
      <c r="S242" s="6"/>
      <c r="T242" s="10"/>
      <c r="U242" s="6"/>
    </row>
    <row r="243" spans="1:21" s="8" customFormat="1" ht="15" customHeight="1" x14ac:dyDescent="0.2">
      <c r="A243" s="51" t="s">
        <v>172</v>
      </c>
      <c r="B243" s="54">
        <v>1</v>
      </c>
      <c r="C243" s="48" t="s">
        <v>173</v>
      </c>
      <c r="D243" s="48" t="s">
        <v>11</v>
      </c>
      <c r="E243" s="48" t="s">
        <v>12</v>
      </c>
      <c r="F243" s="48"/>
      <c r="G243" s="48" t="s">
        <v>20</v>
      </c>
      <c r="H243" s="51" t="s">
        <v>2</v>
      </c>
      <c r="I243" s="49"/>
      <c r="J243" s="7"/>
      <c r="K243" s="7"/>
      <c r="L243" s="9"/>
      <c r="M243" s="9"/>
      <c r="N243" s="9"/>
      <c r="O243" s="9"/>
      <c r="P243" s="9"/>
      <c r="Q243" s="9"/>
    </row>
    <row r="244" spans="1:21" s="8" customFormat="1" ht="15.5" customHeight="1" x14ac:dyDescent="0.2">
      <c r="A244" s="48" t="s">
        <v>56</v>
      </c>
      <c r="B244" s="54">
        <v>100</v>
      </c>
      <c r="C244" s="48" t="s">
        <v>56</v>
      </c>
      <c r="D244" s="48" t="s">
        <v>11</v>
      </c>
      <c r="E244" s="48" t="s">
        <v>13</v>
      </c>
      <c r="F244" s="48"/>
      <c r="G244" s="48" t="s">
        <v>23</v>
      </c>
      <c r="H244" s="48" t="s">
        <v>38</v>
      </c>
      <c r="I244" s="57" t="s">
        <v>90</v>
      </c>
      <c r="L244" s="12"/>
      <c r="M244" s="12"/>
      <c r="N244" s="12"/>
      <c r="O244" s="12"/>
      <c r="P244" s="12"/>
      <c r="Q244" s="12"/>
    </row>
    <row r="245" spans="1:21" s="8" customFormat="1" ht="15.5" customHeight="1" x14ac:dyDescent="0.2">
      <c r="A245" s="48" t="s">
        <v>70</v>
      </c>
      <c r="B245" s="54">
        <v>200</v>
      </c>
      <c r="C245" s="48" t="s">
        <v>70</v>
      </c>
      <c r="D245" s="48" t="s">
        <v>64</v>
      </c>
      <c r="E245" s="48" t="s">
        <v>13</v>
      </c>
      <c r="F245" s="48"/>
      <c r="G245" s="48" t="s">
        <v>23</v>
      </c>
      <c r="H245" s="48" t="s">
        <v>38</v>
      </c>
      <c r="I245" s="57" t="s">
        <v>90</v>
      </c>
      <c r="L245" s="12"/>
      <c r="M245" s="12"/>
      <c r="N245" s="12"/>
      <c r="O245" s="12"/>
      <c r="P245" s="12"/>
      <c r="Q245" s="12"/>
    </row>
    <row r="246" spans="1:21" s="8" customFormat="1" ht="15.5" customHeight="1" x14ac:dyDescent="0.2">
      <c r="A246" s="48" t="s">
        <v>91</v>
      </c>
      <c r="B246" s="54">
        <v>600</v>
      </c>
      <c r="C246" s="48" t="s">
        <v>91</v>
      </c>
      <c r="D246" s="48" t="s">
        <v>11</v>
      </c>
      <c r="E246" s="48" t="s">
        <v>13</v>
      </c>
      <c r="F246" s="48"/>
      <c r="G246" s="48" t="s">
        <v>23</v>
      </c>
      <c r="H246" s="48" t="s">
        <v>38</v>
      </c>
      <c r="I246" s="57" t="s">
        <v>90</v>
      </c>
      <c r="L246" s="12"/>
      <c r="M246" s="12"/>
      <c r="N246" s="12"/>
      <c r="O246" s="12"/>
      <c r="P246" s="12"/>
      <c r="Q246" s="12"/>
    </row>
    <row r="247" spans="1:21" s="8" customFormat="1" ht="15.5" customHeight="1" x14ac:dyDescent="0.2">
      <c r="A247" s="48" t="s">
        <v>58</v>
      </c>
      <c r="B247" s="54">
        <v>100</v>
      </c>
      <c r="C247" s="48" t="s">
        <v>58</v>
      </c>
      <c r="D247" s="48" t="s">
        <v>11</v>
      </c>
      <c r="E247" s="48" t="s">
        <v>13</v>
      </c>
      <c r="F247" s="48"/>
      <c r="G247" s="48" t="s">
        <v>23</v>
      </c>
      <c r="H247" s="48" t="s">
        <v>38</v>
      </c>
      <c r="I247" s="57" t="s">
        <v>90</v>
      </c>
      <c r="L247" s="12"/>
      <c r="M247" s="12"/>
      <c r="N247" s="12"/>
      <c r="O247" s="12"/>
      <c r="P247" s="12"/>
      <c r="Q247" s="12"/>
    </row>
    <row r="248" spans="1:21" s="8" customFormat="1" ht="15.5" customHeight="1" x14ac:dyDescent="0.2">
      <c r="A248" s="48" t="s">
        <v>92</v>
      </c>
      <c r="B248" s="54">
        <v>600</v>
      </c>
      <c r="C248" s="48" t="s">
        <v>92</v>
      </c>
      <c r="D248" s="48" t="s">
        <v>11</v>
      </c>
      <c r="E248" s="48" t="s">
        <v>13</v>
      </c>
      <c r="F248" s="48"/>
      <c r="G248" s="48" t="s">
        <v>23</v>
      </c>
      <c r="H248" s="48" t="s">
        <v>38</v>
      </c>
      <c r="I248" s="57" t="s">
        <v>90</v>
      </c>
      <c r="L248" s="12"/>
      <c r="M248" s="12"/>
      <c r="N248" s="12"/>
      <c r="O248" s="12"/>
      <c r="P248" s="12"/>
      <c r="Q248" s="12"/>
    </row>
    <row r="249" spans="1:21" s="8" customFormat="1" ht="15.5" customHeight="1" x14ac:dyDescent="0.2">
      <c r="A249" s="48" t="s">
        <v>93</v>
      </c>
      <c r="B249" s="54">
        <v>100</v>
      </c>
      <c r="C249" s="48" t="s">
        <v>93</v>
      </c>
      <c r="D249" s="48" t="s">
        <v>94</v>
      </c>
      <c r="E249" s="48" t="s">
        <v>13</v>
      </c>
      <c r="F249" s="48"/>
      <c r="G249" s="48" t="s">
        <v>23</v>
      </c>
      <c r="H249" s="48" t="s">
        <v>38</v>
      </c>
      <c r="I249" s="57" t="s">
        <v>90</v>
      </c>
      <c r="L249" s="12"/>
      <c r="M249" s="12"/>
      <c r="N249" s="12"/>
      <c r="O249" s="12"/>
      <c r="P249" s="12"/>
      <c r="Q249" s="12"/>
    </row>
    <row r="250" spans="1:21" s="8" customFormat="1" ht="15.5" customHeight="1" x14ac:dyDescent="0.2">
      <c r="A250" s="48" t="s">
        <v>95</v>
      </c>
      <c r="B250" s="54">
        <v>200</v>
      </c>
      <c r="C250" s="48" t="s">
        <v>95</v>
      </c>
      <c r="D250" s="48" t="s">
        <v>11</v>
      </c>
      <c r="E250" s="48" t="s">
        <v>13</v>
      </c>
      <c r="F250" s="48"/>
      <c r="G250" s="48" t="s">
        <v>23</v>
      </c>
      <c r="H250" s="48" t="s">
        <v>38</v>
      </c>
      <c r="I250" s="57" t="s">
        <v>90</v>
      </c>
      <c r="L250" s="12"/>
      <c r="M250" s="12"/>
      <c r="N250" s="12"/>
      <c r="O250" s="12"/>
      <c r="P250" s="12"/>
      <c r="Q250" s="12"/>
    </row>
    <row r="251" spans="1:21" s="8" customFormat="1" ht="15.5" customHeight="1" x14ac:dyDescent="0.2">
      <c r="A251" s="48" t="s">
        <v>96</v>
      </c>
      <c r="B251" s="54">
        <v>100</v>
      </c>
      <c r="C251" s="48" t="s">
        <v>96</v>
      </c>
      <c r="D251" s="48" t="s">
        <v>11</v>
      </c>
      <c r="E251" s="48" t="s">
        <v>13</v>
      </c>
      <c r="F251" s="48"/>
      <c r="G251" s="48" t="s">
        <v>23</v>
      </c>
      <c r="H251" s="48" t="s">
        <v>38</v>
      </c>
      <c r="I251" s="49" t="s">
        <v>97</v>
      </c>
      <c r="L251" s="12"/>
      <c r="M251" s="12"/>
      <c r="N251" s="12"/>
      <c r="O251" s="12"/>
      <c r="P251" s="12"/>
      <c r="Q251" s="12"/>
    </row>
    <row r="252" spans="1:21" s="8" customFormat="1" ht="15.5" customHeight="1" x14ac:dyDescent="0.2">
      <c r="A252" s="48" t="s">
        <v>192</v>
      </c>
      <c r="B252" s="54">
        <v>464.6</v>
      </c>
      <c r="C252" s="48" t="s">
        <v>192</v>
      </c>
      <c r="D252" s="48" t="s">
        <v>11</v>
      </c>
      <c r="E252" s="48" t="s">
        <v>13</v>
      </c>
      <c r="F252" s="48"/>
      <c r="G252" s="48" t="s">
        <v>23</v>
      </c>
      <c r="H252" s="48" t="s">
        <v>38</v>
      </c>
      <c r="I252" s="49" t="s">
        <v>193</v>
      </c>
      <c r="L252" s="12"/>
      <c r="M252" s="12"/>
      <c r="N252" s="12"/>
      <c r="O252" s="12"/>
      <c r="P252" s="12"/>
      <c r="Q252" s="12"/>
    </row>
    <row r="253" spans="1:21" s="8" customFormat="1" ht="15.5" customHeight="1" x14ac:dyDescent="0.2">
      <c r="A253" s="48" t="s">
        <v>91</v>
      </c>
      <c r="B253" s="54">
        <v>696.8</v>
      </c>
      <c r="C253" s="48" t="s">
        <v>91</v>
      </c>
      <c r="D253" s="48" t="s">
        <v>11</v>
      </c>
      <c r="E253" s="48" t="s">
        <v>13</v>
      </c>
      <c r="F253" s="48"/>
      <c r="G253" s="48" t="s">
        <v>23</v>
      </c>
      <c r="H253" s="48" t="s">
        <v>38</v>
      </c>
      <c r="I253" s="49" t="s">
        <v>193</v>
      </c>
      <c r="L253" s="12"/>
      <c r="M253" s="12"/>
      <c r="N253" s="12"/>
      <c r="O253" s="12"/>
      <c r="P253" s="12"/>
      <c r="Q253" s="12"/>
    </row>
    <row r="254" spans="1:21" s="8" customFormat="1" ht="15.5" customHeight="1" x14ac:dyDescent="0.2">
      <c r="A254" s="48" t="s">
        <v>92</v>
      </c>
      <c r="B254" s="54">
        <v>696.8</v>
      </c>
      <c r="C254" s="48" t="s">
        <v>92</v>
      </c>
      <c r="D254" s="48" t="s">
        <v>11</v>
      </c>
      <c r="E254" s="48" t="s">
        <v>13</v>
      </c>
      <c r="F254" s="48"/>
      <c r="G254" s="48" t="s">
        <v>23</v>
      </c>
      <c r="H254" s="48" t="s">
        <v>38</v>
      </c>
      <c r="I254" s="49" t="s">
        <v>193</v>
      </c>
      <c r="L254" s="12"/>
      <c r="M254" s="12"/>
      <c r="N254" s="12"/>
      <c r="O254" s="12"/>
      <c r="P254" s="12"/>
      <c r="Q254" s="12"/>
    </row>
    <row r="255" spans="1:21" s="8" customFormat="1" ht="15.5" customHeight="1" x14ac:dyDescent="0.2">
      <c r="A255" s="48" t="s">
        <v>73</v>
      </c>
      <c r="B255" s="54">
        <v>232.3</v>
      </c>
      <c r="C255" s="48" t="s">
        <v>73</v>
      </c>
      <c r="D255" s="48" t="s">
        <v>11</v>
      </c>
      <c r="E255" s="48" t="s">
        <v>13</v>
      </c>
      <c r="F255" s="48"/>
      <c r="G255" s="48" t="s">
        <v>23</v>
      </c>
      <c r="H255" s="48" t="s">
        <v>38</v>
      </c>
      <c r="I255" s="49" t="s">
        <v>193</v>
      </c>
      <c r="L255" s="12"/>
      <c r="M255" s="12"/>
      <c r="N255" s="12"/>
      <c r="O255" s="12"/>
      <c r="P255" s="12"/>
      <c r="Q255" s="12"/>
    </row>
    <row r="256" spans="1:21" s="8" customFormat="1" ht="15.5" customHeight="1" x14ac:dyDescent="0.2">
      <c r="A256" s="48" t="s">
        <v>75</v>
      </c>
      <c r="B256" s="54">
        <v>232.3</v>
      </c>
      <c r="C256" s="48" t="s">
        <v>75</v>
      </c>
      <c r="D256" s="48" t="s">
        <v>11</v>
      </c>
      <c r="E256" s="48" t="s">
        <v>13</v>
      </c>
      <c r="F256" s="48"/>
      <c r="G256" s="48" t="s">
        <v>23</v>
      </c>
      <c r="H256" s="48" t="s">
        <v>38</v>
      </c>
      <c r="I256" s="49" t="s">
        <v>193</v>
      </c>
      <c r="L256" s="12"/>
      <c r="M256" s="12"/>
      <c r="N256" s="12"/>
      <c r="O256" s="12"/>
      <c r="P256" s="12"/>
      <c r="Q256" s="12"/>
    </row>
    <row r="257" spans="1:17" s="8" customFormat="1" ht="15.5" customHeight="1" x14ac:dyDescent="0.2">
      <c r="A257" s="48" t="s">
        <v>111</v>
      </c>
      <c r="B257" s="54">
        <v>464.6</v>
      </c>
      <c r="C257" s="48" t="s">
        <v>111</v>
      </c>
      <c r="D257" s="48" t="s">
        <v>11</v>
      </c>
      <c r="E257" s="48" t="s">
        <v>13</v>
      </c>
      <c r="F257" s="48"/>
      <c r="G257" s="48" t="s">
        <v>23</v>
      </c>
      <c r="H257" s="48" t="s">
        <v>38</v>
      </c>
      <c r="I257" s="49" t="s">
        <v>112</v>
      </c>
      <c r="L257" s="12"/>
      <c r="M257" s="12"/>
      <c r="N257" s="12"/>
      <c r="O257" s="12"/>
      <c r="P257" s="12"/>
      <c r="Q257" s="12"/>
    </row>
    <row r="258" spans="1:17" s="8" customFormat="1" ht="15.5" customHeight="1" x14ac:dyDescent="0.2">
      <c r="A258" s="48" t="s">
        <v>113</v>
      </c>
      <c r="B258" s="54">
        <v>464.6</v>
      </c>
      <c r="C258" s="48" t="s">
        <v>113</v>
      </c>
      <c r="D258" s="48" t="s">
        <v>11</v>
      </c>
      <c r="E258" s="48" t="s">
        <v>13</v>
      </c>
      <c r="F258" s="48"/>
      <c r="G258" s="48" t="s">
        <v>23</v>
      </c>
      <c r="H258" s="48" t="s">
        <v>38</v>
      </c>
      <c r="I258" s="49" t="s">
        <v>112</v>
      </c>
      <c r="L258" s="12"/>
      <c r="M258" s="12"/>
      <c r="N258" s="12"/>
      <c r="O258" s="12"/>
      <c r="P258" s="12"/>
      <c r="Q258" s="12"/>
    </row>
    <row r="259" spans="1:17" s="8" customFormat="1" ht="15.5" customHeight="1" x14ac:dyDescent="0.2">
      <c r="A259" s="48" t="s">
        <v>91</v>
      </c>
      <c r="B259" s="54">
        <v>232.3</v>
      </c>
      <c r="C259" s="48" t="s">
        <v>91</v>
      </c>
      <c r="D259" s="48" t="s">
        <v>11</v>
      </c>
      <c r="E259" s="48" t="s">
        <v>13</v>
      </c>
      <c r="F259" s="48"/>
      <c r="G259" s="48" t="s">
        <v>23</v>
      </c>
      <c r="H259" s="48" t="s">
        <v>38</v>
      </c>
      <c r="I259" s="49" t="s">
        <v>112</v>
      </c>
      <c r="L259" s="12"/>
      <c r="M259" s="12"/>
      <c r="N259" s="12"/>
      <c r="O259" s="12"/>
      <c r="P259" s="12"/>
      <c r="Q259" s="12"/>
    </row>
    <row r="260" spans="1:17" s="8" customFormat="1" ht="15.5" customHeight="1" x14ac:dyDescent="0.2">
      <c r="A260" s="48" t="s">
        <v>92</v>
      </c>
      <c r="B260" s="54">
        <v>232.3</v>
      </c>
      <c r="C260" s="48" t="s">
        <v>92</v>
      </c>
      <c r="D260" s="48" t="s">
        <v>11</v>
      </c>
      <c r="E260" s="48" t="s">
        <v>13</v>
      </c>
      <c r="F260" s="48"/>
      <c r="G260" s="48" t="s">
        <v>23</v>
      </c>
      <c r="H260" s="48" t="s">
        <v>38</v>
      </c>
      <c r="I260" s="49" t="s">
        <v>112</v>
      </c>
      <c r="L260" s="12"/>
      <c r="M260" s="12"/>
      <c r="N260" s="12"/>
      <c r="O260" s="12"/>
      <c r="P260" s="12"/>
      <c r="Q260" s="12"/>
    </row>
    <row r="261" spans="1:17" s="8" customFormat="1" ht="15.5" customHeight="1" x14ac:dyDescent="0.2">
      <c r="A261" s="48" t="s">
        <v>56</v>
      </c>
      <c r="B261" s="54">
        <v>60</v>
      </c>
      <c r="C261" s="48" t="s">
        <v>56</v>
      </c>
      <c r="D261" s="48" t="s">
        <v>11</v>
      </c>
      <c r="E261" s="48" t="s">
        <v>13</v>
      </c>
      <c r="F261" s="48"/>
      <c r="G261" s="48" t="s">
        <v>23</v>
      </c>
      <c r="H261" s="48" t="s">
        <v>38</v>
      </c>
      <c r="I261" s="49" t="s">
        <v>114</v>
      </c>
      <c r="L261" s="12"/>
      <c r="M261" s="12"/>
      <c r="N261" s="12"/>
      <c r="O261" s="12"/>
      <c r="P261" s="12"/>
      <c r="Q261" s="12"/>
    </row>
    <row r="262" spans="1:17" s="8" customFormat="1" ht="15.5" customHeight="1" x14ac:dyDescent="0.2">
      <c r="A262" s="48" t="s">
        <v>70</v>
      </c>
      <c r="B262" s="54">
        <v>45</v>
      </c>
      <c r="C262" s="48" t="s">
        <v>70</v>
      </c>
      <c r="D262" s="48" t="s">
        <v>64</v>
      </c>
      <c r="E262" s="48" t="s">
        <v>13</v>
      </c>
      <c r="F262" s="48"/>
      <c r="G262" s="48" t="s">
        <v>23</v>
      </c>
      <c r="H262" s="48" t="s">
        <v>38</v>
      </c>
      <c r="I262" s="49" t="s">
        <v>114</v>
      </c>
      <c r="L262" s="12"/>
      <c r="M262" s="12"/>
      <c r="N262" s="12"/>
      <c r="O262" s="12"/>
      <c r="P262" s="12"/>
      <c r="Q262" s="12"/>
    </row>
    <row r="263" spans="1:17" s="8" customFormat="1" ht="15.5" customHeight="1" x14ac:dyDescent="0.2">
      <c r="A263" s="48" t="s">
        <v>91</v>
      </c>
      <c r="B263" s="54">
        <v>180</v>
      </c>
      <c r="C263" s="48" t="s">
        <v>91</v>
      </c>
      <c r="D263" s="48" t="s">
        <v>11</v>
      </c>
      <c r="E263" s="48" t="s">
        <v>13</v>
      </c>
      <c r="F263" s="48"/>
      <c r="G263" s="48" t="s">
        <v>23</v>
      </c>
      <c r="H263" s="48" t="s">
        <v>38</v>
      </c>
      <c r="I263" s="49" t="s">
        <v>114</v>
      </c>
      <c r="L263" s="12"/>
      <c r="M263" s="12"/>
      <c r="N263" s="12"/>
      <c r="O263" s="12"/>
      <c r="P263" s="12"/>
      <c r="Q263" s="12"/>
    </row>
    <row r="264" spans="1:17" s="8" customFormat="1" ht="15.5" customHeight="1" x14ac:dyDescent="0.2">
      <c r="A264" s="48" t="s">
        <v>93</v>
      </c>
      <c r="B264" s="54">
        <v>15</v>
      </c>
      <c r="C264" s="48" t="s">
        <v>93</v>
      </c>
      <c r="D264" s="48" t="s">
        <v>94</v>
      </c>
      <c r="E264" s="48" t="s">
        <v>13</v>
      </c>
      <c r="F264" s="48"/>
      <c r="G264" s="48" t="s">
        <v>23</v>
      </c>
      <c r="H264" s="48" t="s">
        <v>38</v>
      </c>
      <c r="I264" s="49" t="s">
        <v>114</v>
      </c>
      <c r="L264" s="12"/>
      <c r="M264" s="12"/>
      <c r="N264" s="12"/>
      <c r="O264" s="12"/>
      <c r="P264" s="12"/>
      <c r="Q264" s="12"/>
    </row>
    <row r="265" spans="1:17" s="8" customFormat="1" ht="15.5" customHeight="1" x14ac:dyDescent="0.2">
      <c r="A265" s="48" t="s">
        <v>95</v>
      </c>
      <c r="B265" s="54">
        <v>45</v>
      </c>
      <c r="C265" s="48" t="s">
        <v>95</v>
      </c>
      <c r="D265" s="48" t="s">
        <v>11</v>
      </c>
      <c r="E265" s="48" t="s">
        <v>13</v>
      </c>
      <c r="F265" s="48"/>
      <c r="G265" s="48" t="s">
        <v>23</v>
      </c>
      <c r="H265" s="48" t="s">
        <v>38</v>
      </c>
      <c r="I265" s="49" t="s">
        <v>114</v>
      </c>
      <c r="L265" s="12"/>
      <c r="M265" s="12"/>
      <c r="N265" s="12"/>
      <c r="O265" s="12"/>
      <c r="P265" s="12"/>
      <c r="Q265" s="12"/>
    </row>
    <row r="266" spans="1:17" s="8" customFormat="1" ht="15.5" customHeight="1" x14ac:dyDescent="0.2">
      <c r="A266" s="48" t="s">
        <v>115</v>
      </c>
      <c r="B266" s="54">
        <v>600</v>
      </c>
      <c r="C266" s="48" t="s">
        <v>115</v>
      </c>
      <c r="D266" s="48" t="s">
        <v>11</v>
      </c>
      <c r="E266" s="48" t="s">
        <v>13</v>
      </c>
      <c r="F266" s="48"/>
      <c r="G266" s="48" t="s">
        <v>23</v>
      </c>
      <c r="H266" s="48" t="s">
        <v>38</v>
      </c>
      <c r="I266" s="49" t="s">
        <v>116</v>
      </c>
      <c r="L266" s="12"/>
      <c r="M266" s="12"/>
      <c r="N266" s="12"/>
      <c r="O266" s="12"/>
      <c r="P266" s="12"/>
      <c r="Q266" s="12"/>
    </row>
    <row r="267" spans="1:17" s="8" customFormat="1" ht="15.5" customHeight="1" x14ac:dyDescent="0.2">
      <c r="A267" s="48" t="s">
        <v>117</v>
      </c>
      <c r="B267" s="54">
        <v>7</v>
      </c>
      <c r="C267" s="48" t="s">
        <v>117</v>
      </c>
      <c r="D267" s="48" t="s">
        <v>11</v>
      </c>
      <c r="E267" s="48" t="s">
        <v>13</v>
      </c>
      <c r="F267" s="48"/>
      <c r="G267" s="48" t="s">
        <v>23</v>
      </c>
      <c r="H267" s="48" t="s">
        <v>38</v>
      </c>
      <c r="I267" s="49" t="s">
        <v>116</v>
      </c>
      <c r="L267" s="12"/>
      <c r="M267" s="12"/>
      <c r="N267" s="12"/>
      <c r="O267" s="12"/>
      <c r="P267" s="12"/>
      <c r="Q267" s="12"/>
    </row>
    <row r="268" spans="1:17" s="8" customFormat="1" ht="15.5" customHeight="1" x14ac:dyDescent="0.2">
      <c r="A268" s="48" t="s">
        <v>91</v>
      </c>
      <c r="B268" s="54">
        <v>1300</v>
      </c>
      <c r="C268" s="48" t="s">
        <v>91</v>
      </c>
      <c r="D268" s="48" t="s">
        <v>11</v>
      </c>
      <c r="E268" s="48" t="s">
        <v>13</v>
      </c>
      <c r="F268" s="48"/>
      <c r="G268" s="48" t="s">
        <v>23</v>
      </c>
      <c r="H268" s="48" t="s">
        <v>38</v>
      </c>
      <c r="I268" s="49" t="s">
        <v>116</v>
      </c>
      <c r="L268" s="12"/>
      <c r="M268" s="12"/>
      <c r="N268" s="12"/>
      <c r="O268" s="12"/>
      <c r="P268" s="12"/>
      <c r="Q268" s="12"/>
    </row>
    <row r="269" spans="1:17" s="8" customFormat="1" ht="15.5" customHeight="1" x14ac:dyDescent="0.2">
      <c r="A269" s="48" t="s">
        <v>73</v>
      </c>
      <c r="B269" s="54">
        <v>405</v>
      </c>
      <c r="C269" s="48" t="s">
        <v>73</v>
      </c>
      <c r="D269" s="48" t="s">
        <v>11</v>
      </c>
      <c r="E269" s="48" t="s">
        <v>13</v>
      </c>
      <c r="F269" s="48"/>
      <c r="G269" s="48" t="s">
        <v>23</v>
      </c>
      <c r="H269" s="48" t="s">
        <v>38</v>
      </c>
      <c r="I269" s="49" t="s">
        <v>116</v>
      </c>
      <c r="L269" s="12"/>
      <c r="M269" s="12"/>
      <c r="N269" s="12"/>
      <c r="O269" s="12"/>
      <c r="P269" s="12"/>
      <c r="Q269" s="12"/>
    </row>
    <row r="270" spans="1:17" s="8" customFormat="1" ht="15.5" customHeight="1" x14ac:dyDescent="0.2">
      <c r="A270" s="48" t="s">
        <v>92</v>
      </c>
      <c r="B270" s="54">
        <v>400</v>
      </c>
      <c r="C270" s="48" t="s">
        <v>92</v>
      </c>
      <c r="D270" s="48" t="s">
        <v>11</v>
      </c>
      <c r="E270" s="48" t="s">
        <v>13</v>
      </c>
      <c r="F270" s="48"/>
      <c r="G270" s="48" t="s">
        <v>23</v>
      </c>
      <c r="H270" s="48" t="s">
        <v>38</v>
      </c>
      <c r="I270" s="49" t="s">
        <v>116</v>
      </c>
      <c r="L270" s="12"/>
      <c r="M270" s="12"/>
      <c r="N270" s="12"/>
      <c r="O270" s="12"/>
      <c r="P270" s="12"/>
      <c r="Q270" s="12"/>
    </row>
    <row r="271" spans="1:17" s="8" customFormat="1" ht="15.5" customHeight="1" x14ac:dyDescent="0.2">
      <c r="A271" s="48" t="s">
        <v>75</v>
      </c>
      <c r="B271" s="54">
        <v>405</v>
      </c>
      <c r="C271" s="48" t="s">
        <v>75</v>
      </c>
      <c r="D271" s="48" t="s">
        <v>11</v>
      </c>
      <c r="E271" s="48" t="s">
        <v>13</v>
      </c>
      <c r="F271" s="48"/>
      <c r="G271" s="48" t="s">
        <v>23</v>
      </c>
      <c r="H271" s="48" t="s">
        <v>38</v>
      </c>
      <c r="I271" s="49" t="s">
        <v>116</v>
      </c>
      <c r="L271" s="12"/>
      <c r="M271" s="12"/>
      <c r="N271" s="12"/>
      <c r="O271" s="12"/>
      <c r="P271" s="12"/>
      <c r="Q271" s="12"/>
    </row>
    <row r="272" spans="1:17" s="8" customFormat="1" ht="15.5" customHeight="1" x14ac:dyDescent="0.2">
      <c r="A272" s="48" t="s">
        <v>91</v>
      </c>
      <c r="B272" s="54">
        <v>1000</v>
      </c>
      <c r="C272" s="48" t="s">
        <v>91</v>
      </c>
      <c r="D272" s="48" t="s">
        <v>11</v>
      </c>
      <c r="E272" s="48" t="s">
        <v>13</v>
      </c>
      <c r="F272" s="48"/>
      <c r="G272" s="48" t="s">
        <v>23</v>
      </c>
      <c r="H272" s="48" t="s">
        <v>38</v>
      </c>
      <c r="I272" s="49" t="s">
        <v>118</v>
      </c>
      <c r="L272" s="12"/>
      <c r="M272" s="12"/>
      <c r="N272" s="12"/>
      <c r="O272" s="12"/>
      <c r="P272" s="12"/>
      <c r="Q272" s="12"/>
    </row>
    <row r="273" spans="1:17" s="8" customFormat="1" ht="15.5" customHeight="1" x14ac:dyDescent="0.2">
      <c r="A273" s="48" t="s">
        <v>73</v>
      </c>
      <c r="B273" s="54">
        <v>1500</v>
      </c>
      <c r="C273" s="48" t="s">
        <v>73</v>
      </c>
      <c r="D273" s="48" t="s">
        <v>11</v>
      </c>
      <c r="E273" s="48" t="s">
        <v>13</v>
      </c>
      <c r="F273" s="48"/>
      <c r="G273" s="48" t="s">
        <v>23</v>
      </c>
      <c r="H273" s="48" t="s">
        <v>38</v>
      </c>
      <c r="I273" s="49" t="s">
        <v>118</v>
      </c>
      <c r="L273" s="12"/>
      <c r="M273" s="12"/>
      <c r="N273" s="12"/>
      <c r="O273" s="12"/>
      <c r="P273" s="12"/>
      <c r="Q273" s="12"/>
    </row>
    <row r="274" spans="1:17" s="8" customFormat="1" ht="15.5" customHeight="1" x14ac:dyDescent="0.2">
      <c r="A274" s="48" t="s">
        <v>92</v>
      </c>
      <c r="B274" s="54">
        <v>1000</v>
      </c>
      <c r="C274" s="48" t="s">
        <v>92</v>
      </c>
      <c r="D274" s="48" t="s">
        <v>11</v>
      </c>
      <c r="E274" s="48" t="s">
        <v>13</v>
      </c>
      <c r="F274" s="48"/>
      <c r="G274" s="48" t="s">
        <v>23</v>
      </c>
      <c r="H274" s="48" t="s">
        <v>38</v>
      </c>
      <c r="I274" s="49" t="s">
        <v>118</v>
      </c>
      <c r="L274" s="12"/>
      <c r="M274" s="12"/>
      <c r="N274" s="12"/>
      <c r="O274" s="12"/>
      <c r="P274" s="12"/>
      <c r="Q274" s="12"/>
    </row>
    <row r="275" spans="1:17" s="8" customFormat="1" ht="15.5" customHeight="1" x14ac:dyDescent="0.2">
      <c r="A275" s="48" t="s">
        <v>75</v>
      </c>
      <c r="B275" s="54">
        <v>1500</v>
      </c>
      <c r="C275" s="48" t="s">
        <v>75</v>
      </c>
      <c r="D275" s="48" t="s">
        <v>11</v>
      </c>
      <c r="E275" s="48" t="s">
        <v>13</v>
      </c>
      <c r="F275" s="48"/>
      <c r="G275" s="48" t="s">
        <v>23</v>
      </c>
      <c r="H275" s="48" t="s">
        <v>38</v>
      </c>
      <c r="I275" s="49" t="s">
        <v>118</v>
      </c>
      <c r="L275" s="12"/>
      <c r="M275" s="12"/>
      <c r="N275" s="12"/>
      <c r="O275" s="12"/>
      <c r="P275" s="12"/>
      <c r="Q275" s="12"/>
    </row>
    <row r="276" spans="1:17" s="8" customFormat="1" ht="15.5" customHeight="1" x14ac:dyDescent="0.2">
      <c r="A276" s="48" t="s">
        <v>73</v>
      </c>
      <c r="B276" s="54">
        <v>511</v>
      </c>
      <c r="C276" s="48" t="s">
        <v>73</v>
      </c>
      <c r="D276" s="48" t="s">
        <v>11</v>
      </c>
      <c r="E276" s="48" t="s">
        <v>13</v>
      </c>
      <c r="F276" s="48"/>
      <c r="G276" s="48" t="s">
        <v>23</v>
      </c>
      <c r="H276" s="48" t="s">
        <v>38</v>
      </c>
      <c r="I276" s="49" t="s">
        <v>119</v>
      </c>
      <c r="L276" s="12"/>
      <c r="M276" s="12"/>
      <c r="N276" s="12"/>
      <c r="O276" s="12"/>
      <c r="P276" s="12"/>
      <c r="Q276" s="12"/>
    </row>
    <row r="277" spans="1:17" s="8" customFormat="1" ht="15.5" customHeight="1" x14ac:dyDescent="0.2">
      <c r="A277" s="48" t="s">
        <v>75</v>
      </c>
      <c r="B277" s="54">
        <v>511</v>
      </c>
      <c r="C277" s="48" t="s">
        <v>75</v>
      </c>
      <c r="D277" s="48" t="s">
        <v>11</v>
      </c>
      <c r="E277" s="48" t="s">
        <v>13</v>
      </c>
      <c r="F277" s="48"/>
      <c r="G277" s="48" t="s">
        <v>23</v>
      </c>
      <c r="H277" s="48" t="s">
        <v>38</v>
      </c>
      <c r="I277" s="49" t="s">
        <v>119</v>
      </c>
      <c r="L277" s="12"/>
      <c r="M277" s="12"/>
      <c r="N277" s="12"/>
      <c r="O277" s="12"/>
      <c r="P277" s="12"/>
      <c r="Q277" s="12"/>
    </row>
    <row r="278" spans="1:17" s="8" customFormat="1" ht="15.5" customHeight="1" x14ac:dyDescent="0.2">
      <c r="A278" s="48" t="s">
        <v>70</v>
      </c>
      <c r="B278" s="54">
        <v>371.7</v>
      </c>
      <c r="C278" s="48" t="s">
        <v>70</v>
      </c>
      <c r="D278" s="48" t="s">
        <v>64</v>
      </c>
      <c r="E278" s="48" t="s">
        <v>13</v>
      </c>
      <c r="F278" s="48"/>
      <c r="G278" s="48" t="s">
        <v>23</v>
      </c>
      <c r="H278" s="48" t="s">
        <v>38</v>
      </c>
      <c r="I278" s="49" t="s">
        <v>194</v>
      </c>
      <c r="L278" s="12"/>
      <c r="M278" s="12"/>
      <c r="N278" s="12"/>
      <c r="O278" s="12"/>
      <c r="P278" s="12"/>
      <c r="Q278" s="12"/>
    </row>
    <row r="279" spans="1:17" s="8" customFormat="1" ht="15.5" customHeight="1" x14ac:dyDescent="0.2">
      <c r="A279" s="48" t="s">
        <v>95</v>
      </c>
      <c r="B279" s="54">
        <v>371.7</v>
      </c>
      <c r="C279" s="48" t="s">
        <v>95</v>
      </c>
      <c r="D279" s="48" t="s">
        <v>11</v>
      </c>
      <c r="E279" s="48" t="s">
        <v>13</v>
      </c>
      <c r="F279" s="48"/>
      <c r="G279" s="48" t="s">
        <v>23</v>
      </c>
      <c r="H279" s="48" t="s">
        <v>38</v>
      </c>
      <c r="I279" s="49" t="s">
        <v>194</v>
      </c>
      <c r="L279" s="12"/>
      <c r="M279" s="12"/>
      <c r="N279" s="12"/>
      <c r="O279" s="12"/>
      <c r="P279" s="12"/>
      <c r="Q279" s="12"/>
    </row>
    <row r="280" spans="1:17" s="8" customFormat="1" ht="15.5" customHeight="1" x14ac:dyDescent="0.2">
      <c r="A280" s="48" t="s">
        <v>73</v>
      </c>
      <c r="B280" s="54">
        <v>929.1</v>
      </c>
      <c r="C280" s="48" t="s">
        <v>73</v>
      </c>
      <c r="D280" s="48" t="s">
        <v>11</v>
      </c>
      <c r="E280" s="48" t="s">
        <v>13</v>
      </c>
      <c r="F280" s="48"/>
      <c r="G280" s="48" t="s">
        <v>23</v>
      </c>
      <c r="H280" s="48" t="s">
        <v>38</v>
      </c>
      <c r="I280" s="49" t="s">
        <v>194</v>
      </c>
      <c r="L280" s="12"/>
      <c r="M280" s="12"/>
      <c r="N280" s="12"/>
      <c r="O280" s="12"/>
      <c r="P280" s="12"/>
      <c r="Q280" s="12"/>
    </row>
    <row r="281" spans="1:17" s="8" customFormat="1" ht="15.5" customHeight="1" x14ac:dyDescent="0.2">
      <c r="A281" s="48" t="s">
        <v>75</v>
      </c>
      <c r="B281" s="54">
        <v>929.1</v>
      </c>
      <c r="C281" s="48" t="s">
        <v>75</v>
      </c>
      <c r="D281" s="48" t="s">
        <v>11</v>
      </c>
      <c r="E281" s="48" t="s">
        <v>13</v>
      </c>
      <c r="F281" s="48"/>
      <c r="G281" s="48" t="s">
        <v>23</v>
      </c>
      <c r="H281" s="48" t="s">
        <v>38</v>
      </c>
      <c r="I281" s="49" t="s">
        <v>194</v>
      </c>
      <c r="L281" s="12"/>
      <c r="M281" s="12"/>
      <c r="N281" s="12"/>
      <c r="O281" s="12"/>
      <c r="P281" s="12"/>
      <c r="Q281" s="12"/>
    </row>
    <row r="282" spans="1:17" s="8" customFormat="1" ht="15.5" customHeight="1" x14ac:dyDescent="0.2">
      <c r="A282" s="48" t="s">
        <v>93</v>
      </c>
      <c r="B282" s="54">
        <v>92.9</v>
      </c>
      <c r="C282" s="48" t="s">
        <v>93</v>
      </c>
      <c r="D282" s="48" t="s">
        <v>94</v>
      </c>
      <c r="E282" s="48" t="s">
        <v>13</v>
      </c>
      <c r="F282" s="48"/>
      <c r="G282" s="48" t="s">
        <v>23</v>
      </c>
      <c r="H282" s="48" t="s">
        <v>38</v>
      </c>
      <c r="I282" s="49" t="s">
        <v>194</v>
      </c>
      <c r="L282" s="12"/>
      <c r="M282" s="12"/>
      <c r="N282" s="12"/>
      <c r="O282" s="12"/>
      <c r="P282" s="12"/>
      <c r="Q282" s="12"/>
    </row>
    <row r="283" spans="1:17" s="8" customFormat="1" ht="15.5" customHeight="1" x14ac:dyDescent="0.2">
      <c r="A283" s="48" t="s">
        <v>91</v>
      </c>
      <c r="B283" s="54">
        <v>836.2</v>
      </c>
      <c r="C283" s="48" t="s">
        <v>91</v>
      </c>
      <c r="D283" s="48" t="s">
        <v>11</v>
      </c>
      <c r="E283" s="48" t="s">
        <v>13</v>
      </c>
      <c r="F283" s="48"/>
      <c r="G283" s="48" t="s">
        <v>23</v>
      </c>
      <c r="H283" s="48" t="s">
        <v>38</v>
      </c>
      <c r="I283" s="49" t="s">
        <v>195</v>
      </c>
      <c r="L283" s="12"/>
      <c r="M283" s="12"/>
      <c r="N283" s="12"/>
      <c r="O283" s="12"/>
      <c r="P283" s="12"/>
      <c r="Q283" s="12"/>
    </row>
    <row r="284" spans="1:17" s="8" customFormat="1" ht="15.5" customHeight="1" x14ac:dyDescent="0.2">
      <c r="A284" s="48" t="s">
        <v>92</v>
      </c>
      <c r="B284" s="54">
        <v>836.2</v>
      </c>
      <c r="C284" s="48" t="s">
        <v>92</v>
      </c>
      <c r="D284" s="48" t="s">
        <v>11</v>
      </c>
      <c r="E284" s="48" t="s">
        <v>13</v>
      </c>
      <c r="F284" s="48"/>
      <c r="G284" s="48" t="s">
        <v>23</v>
      </c>
      <c r="H284" s="48" t="s">
        <v>38</v>
      </c>
      <c r="I284" s="49" t="s">
        <v>195</v>
      </c>
      <c r="L284" s="12"/>
      <c r="M284" s="12"/>
      <c r="N284" s="12"/>
      <c r="O284" s="12"/>
      <c r="P284" s="12"/>
      <c r="Q284" s="12"/>
    </row>
    <row r="285" spans="1:17" s="8" customFormat="1" ht="15.5" customHeight="1" x14ac:dyDescent="0.2">
      <c r="A285" s="48" t="s">
        <v>115</v>
      </c>
      <c r="B285" s="54">
        <v>116.1</v>
      </c>
      <c r="C285" s="48" t="s">
        <v>115</v>
      </c>
      <c r="D285" s="48" t="s">
        <v>11</v>
      </c>
      <c r="E285" s="48" t="s">
        <v>13</v>
      </c>
      <c r="F285" s="48"/>
      <c r="G285" s="48" t="s">
        <v>23</v>
      </c>
      <c r="H285" s="48" t="s">
        <v>38</v>
      </c>
      <c r="I285" s="49" t="s">
        <v>196</v>
      </c>
      <c r="L285" s="12"/>
      <c r="M285" s="12"/>
      <c r="N285" s="12"/>
      <c r="O285" s="12"/>
      <c r="P285" s="12"/>
      <c r="Q285" s="12"/>
    </row>
    <row r="286" spans="1:17" s="8" customFormat="1" ht="15.5" customHeight="1" x14ac:dyDescent="0.2">
      <c r="A286" s="48" t="s">
        <v>91</v>
      </c>
      <c r="B286" s="54">
        <v>209.1</v>
      </c>
      <c r="C286" s="48" t="s">
        <v>91</v>
      </c>
      <c r="D286" s="48" t="s">
        <v>11</v>
      </c>
      <c r="E286" s="48" t="s">
        <v>13</v>
      </c>
      <c r="F286" s="48"/>
      <c r="G286" s="48" t="s">
        <v>23</v>
      </c>
      <c r="H286" s="48" t="s">
        <v>38</v>
      </c>
      <c r="I286" s="49" t="s">
        <v>196</v>
      </c>
      <c r="L286" s="12"/>
      <c r="M286" s="12"/>
      <c r="N286" s="12"/>
      <c r="O286" s="12"/>
      <c r="P286" s="12"/>
      <c r="Q286" s="12"/>
    </row>
    <row r="287" spans="1:17" s="8" customFormat="1" ht="15.5" customHeight="1" x14ac:dyDescent="0.2">
      <c r="A287" s="48" t="s">
        <v>92</v>
      </c>
      <c r="B287" s="54">
        <v>209.1</v>
      </c>
      <c r="C287" s="48" t="s">
        <v>92</v>
      </c>
      <c r="D287" s="48" t="s">
        <v>11</v>
      </c>
      <c r="E287" s="48" t="s">
        <v>13</v>
      </c>
      <c r="F287" s="48"/>
      <c r="G287" s="48" t="s">
        <v>23</v>
      </c>
      <c r="H287" s="48" t="s">
        <v>38</v>
      </c>
      <c r="I287" s="49" t="s">
        <v>196</v>
      </c>
      <c r="L287" s="12"/>
      <c r="M287" s="12"/>
      <c r="N287" s="12"/>
      <c r="O287" s="12"/>
      <c r="P287" s="12"/>
      <c r="Q287" s="12"/>
    </row>
    <row r="288" spans="1:17" s="8" customFormat="1" ht="15.5" customHeight="1" x14ac:dyDescent="0.2">
      <c r="A288" s="48" t="s">
        <v>73</v>
      </c>
      <c r="B288" s="54">
        <v>1161.4000000000001</v>
      </c>
      <c r="C288" s="48" t="s">
        <v>73</v>
      </c>
      <c r="D288" s="48" t="s">
        <v>11</v>
      </c>
      <c r="E288" s="48" t="s">
        <v>13</v>
      </c>
      <c r="F288" s="48"/>
      <c r="G288" s="48" t="s">
        <v>23</v>
      </c>
      <c r="H288" s="48" t="s">
        <v>38</v>
      </c>
      <c r="I288" s="49" t="s">
        <v>110</v>
      </c>
      <c r="L288" s="12"/>
      <c r="M288" s="12"/>
      <c r="N288" s="12"/>
      <c r="O288" s="12"/>
      <c r="P288" s="12"/>
      <c r="Q288" s="12"/>
    </row>
    <row r="289" spans="1:17" s="8" customFormat="1" ht="15.5" customHeight="1" x14ac:dyDescent="0.2">
      <c r="A289" s="48" t="s">
        <v>75</v>
      </c>
      <c r="B289" s="54">
        <v>1161.4000000000001</v>
      </c>
      <c r="C289" s="48" t="s">
        <v>75</v>
      </c>
      <c r="D289" s="48" t="s">
        <v>11</v>
      </c>
      <c r="E289" s="48" t="s">
        <v>13</v>
      </c>
      <c r="F289" s="48"/>
      <c r="G289" s="48" t="s">
        <v>23</v>
      </c>
      <c r="H289" s="48" t="s">
        <v>38</v>
      </c>
      <c r="I289" s="49" t="s">
        <v>110</v>
      </c>
      <c r="L289" s="12"/>
      <c r="M289" s="12"/>
      <c r="N289" s="12"/>
      <c r="O289" s="12"/>
      <c r="P289" s="12"/>
      <c r="Q289" s="12"/>
    </row>
    <row r="290" spans="1:17" s="8" customFormat="1" ht="15.5" customHeight="1" x14ac:dyDescent="0.2">
      <c r="A290" s="48" t="s">
        <v>91</v>
      </c>
      <c r="B290" s="54">
        <v>80</v>
      </c>
      <c r="C290" s="48" t="s">
        <v>91</v>
      </c>
      <c r="D290" s="48" t="s">
        <v>11</v>
      </c>
      <c r="E290" s="48" t="s">
        <v>13</v>
      </c>
      <c r="F290" s="48"/>
      <c r="G290" s="48" t="s">
        <v>23</v>
      </c>
      <c r="H290" s="48" t="s">
        <v>38</v>
      </c>
      <c r="I290" s="49" t="s">
        <v>197</v>
      </c>
      <c r="L290" s="12"/>
      <c r="M290" s="12"/>
      <c r="N290" s="12"/>
      <c r="O290" s="12"/>
      <c r="P290" s="12"/>
      <c r="Q290" s="12"/>
    </row>
    <row r="291" spans="1:17" s="8" customFormat="1" ht="15.5" customHeight="1" x14ac:dyDescent="0.2">
      <c r="A291" s="48" t="s">
        <v>92</v>
      </c>
      <c r="B291" s="54">
        <v>80</v>
      </c>
      <c r="C291" s="48" t="s">
        <v>92</v>
      </c>
      <c r="D291" s="48" t="s">
        <v>11</v>
      </c>
      <c r="E291" s="48" t="s">
        <v>13</v>
      </c>
      <c r="F291" s="48"/>
      <c r="G291" s="48" t="s">
        <v>23</v>
      </c>
      <c r="H291" s="48" t="s">
        <v>38</v>
      </c>
      <c r="I291" s="49" t="s">
        <v>197</v>
      </c>
      <c r="L291" s="12"/>
      <c r="M291" s="12"/>
      <c r="N291" s="12"/>
      <c r="O291" s="12"/>
      <c r="P291" s="12"/>
      <c r="Q291" s="12"/>
    </row>
    <row r="292" spans="1:17" s="8" customFormat="1" ht="15.5" customHeight="1" x14ac:dyDescent="0.2">
      <c r="A292" s="48" t="s">
        <v>73</v>
      </c>
      <c r="B292" s="54">
        <v>851</v>
      </c>
      <c r="C292" s="48" t="s">
        <v>73</v>
      </c>
      <c r="D292" s="48" t="s">
        <v>11</v>
      </c>
      <c r="E292" s="48" t="s">
        <v>13</v>
      </c>
      <c r="F292" s="48"/>
      <c r="G292" s="48" t="s">
        <v>23</v>
      </c>
      <c r="H292" s="48" t="s">
        <v>38</v>
      </c>
      <c r="I292" s="49" t="s">
        <v>198</v>
      </c>
      <c r="L292" s="12"/>
      <c r="M292" s="12"/>
      <c r="N292" s="12"/>
      <c r="O292" s="12"/>
      <c r="P292" s="12"/>
      <c r="Q292" s="12"/>
    </row>
    <row r="293" spans="1:17" s="8" customFormat="1" ht="15.5" customHeight="1" x14ac:dyDescent="0.2">
      <c r="A293" s="48" t="s">
        <v>75</v>
      </c>
      <c r="B293" s="54">
        <v>851</v>
      </c>
      <c r="C293" s="48" t="s">
        <v>75</v>
      </c>
      <c r="D293" s="48" t="s">
        <v>11</v>
      </c>
      <c r="E293" s="48" t="s">
        <v>13</v>
      </c>
      <c r="F293" s="48"/>
      <c r="G293" s="48" t="s">
        <v>23</v>
      </c>
      <c r="H293" s="48" t="s">
        <v>38</v>
      </c>
      <c r="I293" s="49" t="s">
        <v>198</v>
      </c>
      <c r="L293" s="12"/>
      <c r="M293" s="12"/>
      <c r="N293" s="12"/>
      <c r="O293" s="12"/>
      <c r="P293" s="12"/>
      <c r="Q293" s="12"/>
    </row>
    <row r="294" spans="1:17" s="8" customFormat="1" ht="15.5" customHeight="1" x14ac:dyDescent="0.2">
      <c r="A294" s="48" t="s">
        <v>103</v>
      </c>
      <c r="B294" s="54">
        <v>3</v>
      </c>
      <c r="C294" s="48" t="s">
        <v>103</v>
      </c>
      <c r="D294" s="48" t="s">
        <v>11</v>
      </c>
      <c r="E294" s="48" t="s">
        <v>13</v>
      </c>
      <c r="F294" s="48"/>
      <c r="G294" s="48" t="s">
        <v>23</v>
      </c>
      <c r="H294" s="48" t="s">
        <v>38</v>
      </c>
      <c r="I294" s="49" t="s">
        <v>199</v>
      </c>
      <c r="L294" s="12"/>
      <c r="M294" s="12"/>
      <c r="N294" s="12"/>
      <c r="O294" s="12"/>
      <c r="P294" s="12"/>
      <c r="Q294" s="12"/>
    </row>
    <row r="295" spans="1:17" s="8" customFormat="1" ht="15.5" customHeight="1" x14ac:dyDescent="0.2">
      <c r="A295" s="48" t="s">
        <v>105</v>
      </c>
      <c r="B295" s="54">
        <v>3</v>
      </c>
      <c r="C295" s="48" t="s">
        <v>105</v>
      </c>
      <c r="D295" s="48" t="s">
        <v>11</v>
      </c>
      <c r="E295" s="48" t="s">
        <v>13</v>
      </c>
      <c r="F295" s="48"/>
      <c r="G295" s="48" t="s">
        <v>23</v>
      </c>
      <c r="H295" s="48" t="s">
        <v>38</v>
      </c>
      <c r="I295" s="49" t="s">
        <v>199</v>
      </c>
      <c r="L295" s="12"/>
      <c r="M295" s="12"/>
      <c r="N295" s="12"/>
      <c r="O295" s="12"/>
      <c r="P295" s="12"/>
      <c r="Q295" s="12"/>
    </row>
    <row r="296" spans="1:17" s="8" customFormat="1" ht="15.5" customHeight="1" x14ac:dyDescent="0.2">
      <c r="A296" s="48" t="s">
        <v>73</v>
      </c>
      <c r="B296" s="54">
        <v>1108</v>
      </c>
      <c r="C296" s="48" t="s">
        <v>73</v>
      </c>
      <c r="D296" s="48" t="s">
        <v>11</v>
      </c>
      <c r="E296" s="48" t="s">
        <v>13</v>
      </c>
      <c r="F296" s="48"/>
      <c r="G296" s="48" t="s">
        <v>23</v>
      </c>
      <c r="H296" s="48" t="s">
        <v>38</v>
      </c>
      <c r="I296" s="49" t="s">
        <v>200</v>
      </c>
      <c r="L296" s="12"/>
      <c r="M296" s="12"/>
      <c r="N296" s="12"/>
      <c r="O296" s="12"/>
      <c r="P296" s="12"/>
      <c r="Q296" s="12"/>
    </row>
    <row r="297" spans="1:17" s="8" customFormat="1" ht="15.5" customHeight="1" x14ac:dyDescent="0.2">
      <c r="A297" s="48" t="s">
        <v>75</v>
      </c>
      <c r="B297" s="54">
        <v>1108</v>
      </c>
      <c r="C297" s="48" t="s">
        <v>75</v>
      </c>
      <c r="D297" s="48" t="s">
        <v>11</v>
      </c>
      <c r="E297" s="48" t="s">
        <v>13</v>
      </c>
      <c r="F297" s="48"/>
      <c r="G297" s="48" t="s">
        <v>23</v>
      </c>
      <c r="H297" s="48" t="s">
        <v>38</v>
      </c>
      <c r="I297" s="49" t="s">
        <v>200</v>
      </c>
      <c r="L297" s="12"/>
      <c r="M297" s="12"/>
      <c r="N297" s="12"/>
      <c r="O297" s="12"/>
      <c r="P297" s="12"/>
      <c r="Q297" s="12"/>
    </row>
    <row r="298" spans="1:17" s="8" customFormat="1" ht="15.5" customHeight="1" x14ac:dyDescent="0.2">
      <c r="A298" s="48" t="s">
        <v>120</v>
      </c>
      <c r="B298" s="54">
        <v>29</v>
      </c>
      <c r="C298" s="48" t="s">
        <v>120</v>
      </c>
      <c r="D298" s="48" t="s">
        <v>11</v>
      </c>
      <c r="E298" s="48" t="s">
        <v>121</v>
      </c>
      <c r="F298" s="48"/>
      <c r="G298" s="48" t="s">
        <v>23</v>
      </c>
      <c r="H298" s="48" t="s">
        <v>38</v>
      </c>
      <c r="I298" s="49" t="s">
        <v>119</v>
      </c>
      <c r="L298" s="12"/>
      <c r="M298" s="12"/>
      <c r="N298" s="12"/>
      <c r="O298" s="12"/>
      <c r="P298" s="12"/>
      <c r="Q298" s="12"/>
    </row>
    <row r="299" spans="1:17" s="8" customFormat="1" ht="15.5" customHeight="1" x14ac:dyDescent="0.2">
      <c r="A299" s="48" t="s">
        <v>92</v>
      </c>
      <c r="B299" s="54">
        <v>6075.6</v>
      </c>
      <c r="C299" s="48" t="s">
        <v>92</v>
      </c>
      <c r="D299" s="48" t="s">
        <v>11</v>
      </c>
      <c r="E299" s="48" t="s">
        <v>13</v>
      </c>
      <c r="F299" s="48"/>
      <c r="G299" s="48" t="s">
        <v>23</v>
      </c>
      <c r="H299" s="48" t="s">
        <v>38</v>
      </c>
      <c r="I299" s="49" t="s">
        <v>122</v>
      </c>
      <c r="L299" s="12"/>
      <c r="M299" s="12"/>
      <c r="N299" s="12"/>
      <c r="O299" s="12"/>
      <c r="P299" s="12"/>
      <c r="Q299" s="12"/>
    </row>
    <row r="300" spans="1:17" s="8" customFormat="1" ht="15.5" customHeight="1" x14ac:dyDescent="0.2">
      <c r="A300" s="58" t="s">
        <v>98</v>
      </c>
      <c r="B300" s="54">
        <v>6075.6</v>
      </c>
      <c r="C300" s="49" t="s">
        <v>98</v>
      </c>
      <c r="D300" s="48" t="s">
        <v>11</v>
      </c>
      <c r="E300" s="48" t="s">
        <v>13</v>
      </c>
      <c r="F300" s="48"/>
      <c r="G300" s="48" t="s">
        <v>23</v>
      </c>
      <c r="H300" s="48" t="s">
        <v>38</v>
      </c>
      <c r="I300" s="49" t="s">
        <v>122</v>
      </c>
      <c r="L300" s="12"/>
      <c r="M300" s="12"/>
      <c r="N300" s="12"/>
      <c r="O300" s="12"/>
      <c r="P300" s="12"/>
      <c r="Q300" s="12"/>
    </row>
    <row r="301" spans="1:17" s="8" customFormat="1" ht="15.5" customHeight="1" x14ac:dyDescent="0.2">
      <c r="A301" s="48" t="s">
        <v>123</v>
      </c>
      <c r="B301" s="81">
        <v>7.7</v>
      </c>
      <c r="C301" s="49" t="s">
        <v>123</v>
      </c>
      <c r="D301" s="48" t="s">
        <v>41</v>
      </c>
      <c r="E301" s="49" t="s">
        <v>124</v>
      </c>
      <c r="F301" s="48"/>
      <c r="G301" s="48" t="s">
        <v>23</v>
      </c>
      <c r="H301" s="48" t="s">
        <v>38</v>
      </c>
      <c r="I301" s="49" t="s">
        <v>125</v>
      </c>
      <c r="L301" s="12"/>
      <c r="M301" s="12"/>
      <c r="N301" s="12"/>
      <c r="O301" s="12"/>
      <c r="P301" s="12"/>
      <c r="Q301" s="12"/>
    </row>
    <row r="302" spans="1:17" s="8" customFormat="1" ht="15.5" customHeight="1" x14ac:dyDescent="0.2">
      <c r="A302" s="48" t="s">
        <v>36</v>
      </c>
      <c r="B302" s="54">
        <v>37113.5</v>
      </c>
      <c r="C302" s="49" t="s">
        <v>36</v>
      </c>
      <c r="D302" s="48" t="s">
        <v>64</v>
      </c>
      <c r="E302" s="48" t="s">
        <v>37</v>
      </c>
      <c r="F302" s="48"/>
      <c r="G302" s="48" t="s">
        <v>23</v>
      </c>
      <c r="H302" s="48" t="s">
        <v>38</v>
      </c>
      <c r="I302" s="48" t="s">
        <v>78</v>
      </c>
      <c r="L302" s="12"/>
      <c r="M302" s="12"/>
      <c r="N302" s="12"/>
      <c r="O302" s="12"/>
      <c r="P302" s="12"/>
      <c r="Q302" s="12"/>
    </row>
    <row r="303" spans="1:17" s="8" customFormat="1" ht="15" customHeight="1" x14ac:dyDescent="0.2">
      <c r="B303" s="9"/>
      <c r="C303" s="7"/>
      <c r="D303" s="7"/>
      <c r="G303" s="7"/>
      <c r="H303" s="7"/>
      <c r="I303" s="7"/>
      <c r="J303" s="7"/>
      <c r="L303" s="9"/>
      <c r="M303" s="9"/>
      <c r="N303" s="9"/>
      <c r="O303" s="9"/>
      <c r="P303" s="9"/>
      <c r="Q303" s="9"/>
    </row>
    <row r="304" spans="1:17" s="8" customFormat="1" ht="15.5" customHeight="1" x14ac:dyDescent="0.2">
      <c r="A304" s="47" t="s">
        <v>3</v>
      </c>
      <c r="B304" s="78" t="s">
        <v>177</v>
      </c>
      <c r="C304" s="48"/>
      <c r="D304" s="48"/>
      <c r="E304" s="48"/>
      <c r="F304" s="48"/>
      <c r="G304" s="48"/>
      <c r="H304" s="48"/>
      <c r="I304" s="48"/>
      <c r="L304" s="9"/>
      <c r="M304" s="9"/>
      <c r="N304" s="9"/>
      <c r="O304" s="9"/>
      <c r="P304" s="9"/>
      <c r="Q304" s="9"/>
    </row>
    <row r="305" spans="1:21" s="8" customFormat="1" ht="15" customHeight="1" x14ac:dyDescent="0.2">
      <c r="A305" s="50" t="s">
        <v>5</v>
      </c>
      <c r="B305" s="79">
        <v>1</v>
      </c>
      <c r="C305" s="48"/>
      <c r="D305" s="48"/>
      <c r="E305" s="48"/>
      <c r="F305" s="48"/>
      <c r="G305" s="48"/>
      <c r="H305" s="48"/>
      <c r="I305" s="48"/>
      <c r="L305" s="9"/>
      <c r="M305" s="9"/>
      <c r="N305" s="9"/>
      <c r="O305" s="9"/>
      <c r="P305" s="9"/>
      <c r="Q305" s="9"/>
    </row>
    <row r="306" spans="1:21" s="8" customFormat="1" ht="15" customHeight="1" x14ac:dyDescent="0.2">
      <c r="A306" s="50" t="s">
        <v>6</v>
      </c>
      <c r="B306" s="79" t="s">
        <v>55</v>
      </c>
      <c r="C306" s="48"/>
      <c r="D306" s="48"/>
      <c r="E306" s="48"/>
      <c r="F306" s="48"/>
      <c r="G306" s="48"/>
      <c r="H306" s="48"/>
      <c r="I306" s="48"/>
      <c r="L306" s="9"/>
      <c r="M306" s="9"/>
      <c r="N306" s="9"/>
      <c r="O306" s="9"/>
      <c r="P306" s="9"/>
      <c r="Q306" s="9"/>
    </row>
    <row r="307" spans="1:21" s="8" customFormat="1" ht="15" customHeight="1" x14ac:dyDescent="0.2">
      <c r="A307" s="50" t="s">
        <v>8</v>
      </c>
      <c r="B307" s="54" t="s">
        <v>178</v>
      </c>
      <c r="C307" s="48"/>
      <c r="D307" s="48"/>
      <c r="E307" s="48"/>
      <c r="F307" s="48"/>
      <c r="G307" s="48"/>
      <c r="H307" s="48"/>
      <c r="I307" s="48"/>
      <c r="L307" s="9"/>
      <c r="M307" s="9"/>
      <c r="N307" s="9"/>
      <c r="O307" s="9"/>
      <c r="P307" s="9"/>
      <c r="Q307" s="9"/>
    </row>
    <row r="308" spans="1:21" s="8" customFormat="1" ht="15" customHeight="1" x14ac:dyDescent="0.2">
      <c r="A308" s="50" t="s">
        <v>10</v>
      </c>
      <c r="B308" s="79" t="s">
        <v>11</v>
      </c>
      <c r="C308" s="48"/>
      <c r="D308" s="48"/>
      <c r="E308" s="48"/>
      <c r="F308" s="48"/>
      <c r="G308" s="48"/>
      <c r="H308" s="48"/>
      <c r="I308" s="48"/>
      <c r="L308" s="9"/>
      <c r="M308" s="9"/>
      <c r="N308" s="9"/>
      <c r="O308" s="9"/>
      <c r="P308" s="9"/>
      <c r="Q308" s="9"/>
    </row>
    <row r="309" spans="1:21" s="8" customFormat="1" ht="15" customHeight="1" x14ac:dyDescent="0.2">
      <c r="A309" s="50" t="s">
        <v>12</v>
      </c>
      <c r="B309" s="54" t="s">
        <v>12</v>
      </c>
      <c r="C309" s="48"/>
      <c r="D309" s="48"/>
      <c r="E309" s="48"/>
      <c r="F309" s="48"/>
      <c r="G309" s="48"/>
      <c r="H309" s="48"/>
      <c r="I309" s="48"/>
      <c r="L309" s="9"/>
      <c r="M309" s="9"/>
      <c r="N309" s="9"/>
      <c r="O309" s="9"/>
      <c r="P309" s="9"/>
      <c r="Q309" s="9"/>
    </row>
    <row r="310" spans="1:21" s="8" customFormat="1" ht="15.5" customHeight="1" x14ac:dyDescent="0.2">
      <c r="A310" s="52" t="s">
        <v>14</v>
      </c>
      <c r="B310" s="78"/>
      <c r="C310" s="52"/>
      <c r="D310" s="52"/>
      <c r="E310" s="52"/>
      <c r="F310" s="52"/>
      <c r="G310" s="52"/>
      <c r="H310" s="52"/>
      <c r="I310" s="52"/>
      <c r="J310" s="10"/>
      <c r="K310" s="10"/>
      <c r="L310" s="9"/>
      <c r="M310" s="9"/>
      <c r="N310" s="9"/>
      <c r="O310" s="9"/>
      <c r="P310" s="9"/>
      <c r="Q310" s="9"/>
    </row>
    <row r="311" spans="1:21" s="8" customFormat="1" ht="15.5" customHeight="1" x14ac:dyDescent="0.2">
      <c r="A311" s="52" t="s">
        <v>15</v>
      </c>
      <c r="B311" s="78" t="s">
        <v>16</v>
      </c>
      <c r="C311" s="52" t="s">
        <v>8</v>
      </c>
      <c r="D311" s="52" t="s">
        <v>10</v>
      </c>
      <c r="E311" s="52" t="s">
        <v>12</v>
      </c>
      <c r="F311" s="53" t="s">
        <v>17</v>
      </c>
      <c r="G311" s="52" t="s">
        <v>18</v>
      </c>
      <c r="H311" s="51" t="s">
        <v>19</v>
      </c>
      <c r="I311" s="53" t="s">
        <v>6</v>
      </c>
      <c r="J311" s="10"/>
      <c r="K311" s="6"/>
      <c r="L311" s="11"/>
      <c r="M311" s="11"/>
      <c r="N311" s="11"/>
      <c r="O311" s="11"/>
      <c r="P311" s="11"/>
      <c r="Q311" s="11"/>
      <c r="R311" s="6"/>
      <c r="S311" s="6"/>
      <c r="T311" s="10"/>
      <c r="U311" s="6"/>
    </row>
    <row r="312" spans="1:21" s="8" customFormat="1" ht="15" customHeight="1" x14ac:dyDescent="0.2">
      <c r="A312" s="51" t="s">
        <v>177</v>
      </c>
      <c r="B312" s="54">
        <v>-1</v>
      </c>
      <c r="C312" s="48" t="s">
        <v>178</v>
      </c>
      <c r="D312" s="48" t="s">
        <v>11</v>
      </c>
      <c r="E312" s="48" t="s">
        <v>12</v>
      </c>
      <c r="F312" s="48"/>
      <c r="G312" s="48" t="s">
        <v>20</v>
      </c>
      <c r="H312" s="51" t="s">
        <v>2</v>
      </c>
      <c r="I312" s="48"/>
      <c r="L312" s="9"/>
      <c r="M312" s="9"/>
      <c r="N312" s="9"/>
      <c r="O312" s="9"/>
      <c r="P312" s="9"/>
      <c r="Q312" s="9"/>
    </row>
    <row r="313" spans="1:21" s="8" customFormat="1" ht="15.5" customHeight="1" x14ac:dyDescent="0.2">
      <c r="A313" s="51" t="s">
        <v>81</v>
      </c>
      <c r="B313" s="54">
        <v>-12819.5</v>
      </c>
      <c r="C313" s="48" t="s">
        <v>81</v>
      </c>
      <c r="D313" s="48" t="s">
        <v>11</v>
      </c>
      <c r="E313" s="48" t="s">
        <v>13</v>
      </c>
      <c r="F313" s="48"/>
      <c r="G313" s="48" t="s">
        <v>23</v>
      </c>
      <c r="H313" s="48" t="s">
        <v>38</v>
      </c>
      <c r="I313" s="48"/>
      <c r="L313" s="12"/>
      <c r="M313" s="12"/>
      <c r="N313" s="12"/>
      <c r="O313" s="12"/>
      <c r="P313" s="12"/>
      <c r="Q313" s="12"/>
    </row>
    <row r="314" spans="1:21" s="8" customFormat="1" ht="15.5" customHeight="1" x14ac:dyDescent="0.2">
      <c r="A314" s="51" t="s">
        <v>126</v>
      </c>
      <c r="B314" s="54">
        <v>-5134.3999999999996</v>
      </c>
      <c r="C314" s="51" t="s">
        <v>126</v>
      </c>
      <c r="D314" s="48" t="s">
        <v>41</v>
      </c>
      <c r="E314" s="48" t="s">
        <v>13</v>
      </c>
      <c r="F314" s="48"/>
      <c r="G314" s="48" t="s">
        <v>23</v>
      </c>
      <c r="H314" s="48" t="s">
        <v>38</v>
      </c>
      <c r="I314" s="48"/>
      <c r="L314" s="12"/>
      <c r="M314" s="12"/>
      <c r="N314" s="12"/>
      <c r="O314" s="12"/>
      <c r="P314" s="12"/>
      <c r="Q314" s="12"/>
    </row>
    <row r="315" spans="1:21" s="8" customFormat="1" ht="15.5" customHeight="1" x14ac:dyDescent="0.2">
      <c r="A315" s="48" t="s">
        <v>82</v>
      </c>
      <c r="B315" s="54">
        <v>-160</v>
      </c>
      <c r="C315" s="48" t="s">
        <v>82</v>
      </c>
      <c r="D315" s="48" t="s">
        <v>11</v>
      </c>
      <c r="E315" s="48" t="s">
        <v>13</v>
      </c>
      <c r="F315" s="48"/>
      <c r="G315" s="48" t="s">
        <v>23</v>
      </c>
      <c r="H315" s="48" t="s">
        <v>38</v>
      </c>
      <c r="I315" s="48"/>
      <c r="L315" s="12"/>
      <c r="M315" s="12"/>
      <c r="N315" s="12"/>
      <c r="O315" s="12"/>
      <c r="P315" s="12"/>
      <c r="Q315" s="12"/>
    </row>
    <row r="316" spans="1:21" s="8" customFormat="1" ht="15.5" customHeight="1" x14ac:dyDescent="0.2">
      <c r="A316" s="48" t="s">
        <v>127</v>
      </c>
      <c r="B316" s="54">
        <v>-32</v>
      </c>
      <c r="C316" s="48" t="s">
        <v>127</v>
      </c>
      <c r="D316" s="48" t="s">
        <v>41</v>
      </c>
      <c r="E316" s="48" t="s">
        <v>13</v>
      </c>
      <c r="F316" s="48"/>
      <c r="G316" s="48" t="s">
        <v>23</v>
      </c>
      <c r="H316" s="48" t="s">
        <v>38</v>
      </c>
      <c r="I316" s="48"/>
      <c r="L316" s="12"/>
      <c r="M316" s="12"/>
      <c r="N316" s="12"/>
      <c r="O316" s="12"/>
      <c r="P316" s="12"/>
      <c r="Q316" s="12"/>
    </row>
    <row r="317" spans="1:21" s="8" customFormat="1" ht="15.5" customHeight="1" x14ac:dyDescent="0.2">
      <c r="A317" s="48" t="s">
        <v>128</v>
      </c>
      <c r="B317" s="54">
        <v>-14</v>
      </c>
      <c r="C317" s="48" t="s">
        <v>128</v>
      </c>
      <c r="D317" s="48" t="s">
        <v>64</v>
      </c>
      <c r="E317" s="48" t="s">
        <v>13</v>
      </c>
      <c r="F317" s="48"/>
      <c r="G317" s="48" t="s">
        <v>23</v>
      </c>
      <c r="H317" s="48" t="s">
        <v>38</v>
      </c>
      <c r="I317" s="48"/>
      <c r="L317" s="12"/>
      <c r="M317" s="12"/>
      <c r="N317" s="12"/>
      <c r="O317" s="12"/>
      <c r="P317" s="12"/>
      <c r="Q317" s="12"/>
    </row>
    <row r="318" spans="1:21" s="8" customFormat="1" ht="15.5" customHeight="1" x14ac:dyDescent="0.2">
      <c r="A318" s="48" t="s">
        <v>129</v>
      </c>
      <c r="B318" s="54">
        <v>-800</v>
      </c>
      <c r="C318" s="48" t="s">
        <v>129</v>
      </c>
      <c r="D318" s="48" t="s">
        <v>64</v>
      </c>
      <c r="E318" s="48" t="s">
        <v>13</v>
      </c>
      <c r="F318" s="48"/>
      <c r="G318" s="48" t="s">
        <v>23</v>
      </c>
      <c r="H318" s="48" t="s">
        <v>38</v>
      </c>
      <c r="I318" s="48"/>
      <c r="L318" s="12"/>
      <c r="M318" s="12"/>
      <c r="N318" s="12"/>
      <c r="O318" s="12"/>
      <c r="P318" s="12"/>
      <c r="Q318" s="12"/>
    </row>
    <row r="319" spans="1:21" s="8" customFormat="1" ht="15.5" customHeight="1" x14ac:dyDescent="0.2">
      <c r="A319" s="48" t="s">
        <v>130</v>
      </c>
      <c r="B319" s="54">
        <v>-468</v>
      </c>
      <c r="C319" s="48" t="s">
        <v>130</v>
      </c>
      <c r="D319" s="48" t="s">
        <v>41</v>
      </c>
      <c r="E319" s="48" t="s">
        <v>13</v>
      </c>
      <c r="F319" s="48"/>
      <c r="G319" s="48" t="s">
        <v>23</v>
      </c>
      <c r="H319" s="48" t="s">
        <v>38</v>
      </c>
      <c r="I319" s="48"/>
      <c r="L319" s="12"/>
      <c r="M319" s="12"/>
      <c r="N319" s="12"/>
      <c r="O319" s="12"/>
      <c r="P319" s="12"/>
      <c r="Q319" s="12"/>
    </row>
    <row r="320" spans="1:21" s="8" customFormat="1" ht="15.5" customHeight="1" x14ac:dyDescent="0.2">
      <c r="A320" s="48" t="s">
        <v>131</v>
      </c>
      <c r="B320" s="54">
        <v>-716</v>
      </c>
      <c r="C320" s="48" t="s">
        <v>131</v>
      </c>
      <c r="D320" s="48" t="s">
        <v>41</v>
      </c>
      <c r="E320" s="48" t="s">
        <v>13</v>
      </c>
      <c r="F320" s="48"/>
      <c r="G320" s="48" t="s">
        <v>23</v>
      </c>
      <c r="H320" s="48" t="s">
        <v>38</v>
      </c>
      <c r="I320" s="48"/>
      <c r="L320" s="12"/>
      <c r="M320" s="12"/>
      <c r="N320" s="12"/>
      <c r="O320" s="12"/>
      <c r="P320" s="12"/>
      <c r="Q320" s="12"/>
    </row>
    <row r="321" spans="1:21" s="8" customFormat="1" ht="15.5" customHeight="1" x14ac:dyDescent="0.2">
      <c r="A321" s="48" t="s">
        <v>83</v>
      </c>
      <c r="B321" s="54">
        <v>-617</v>
      </c>
      <c r="C321" s="48" t="s">
        <v>83</v>
      </c>
      <c r="D321" s="48" t="s">
        <v>11</v>
      </c>
      <c r="E321" s="48" t="s">
        <v>13</v>
      </c>
      <c r="F321" s="48"/>
      <c r="G321" s="48" t="s">
        <v>23</v>
      </c>
      <c r="H321" s="48" t="s">
        <v>38</v>
      </c>
      <c r="I321" s="48"/>
      <c r="L321" s="12"/>
      <c r="M321" s="12"/>
      <c r="N321" s="12"/>
      <c r="O321" s="12"/>
      <c r="P321" s="12"/>
      <c r="Q321" s="12"/>
    </row>
    <row r="322" spans="1:21" s="8" customFormat="1" ht="15.5" customHeight="1" x14ac:dyDescent="0.2">
      <c r="A322" s="48" t="s">
        <v>84</v>
      </c>
      <c r="B322" s="54">
        <v>-208</v>
      </c>
      <c r="C322" s="48" t="s">
        <v>84</v>
      </c>
      <c r="D322" s="48" t="s">
        <v>41</v>
      </c>
      <c r="E322" s="48" t="s">
        <v>13</v>
      </c>
      <c r="F322" s="48"/>
      <c r="G322" s="48" t="s">
        <v>23</v>
      </c>
      <c r="H322" s="48" t="s">
        <v>38</v>
      </c>
      <c r="I322" s="48"/>
      <c r="L322" s="12"/>
      <c r="M322" s="12"/>
      <c r="N322" s="12"/>
      <c r="O322" s="12"/>
      <c r="P322" s="12"/>
      <c r="Q322" s="12"/>
    </row>
    <row r="323" spans="1:21" s="8" customFormat="1" ht="15.5" customHeight="1" x14ac:dyDescent="0.2">
      <c r="A323" s="48" t="s">
        <v>132</v>
      </c>
      <c r="B323" s="54">
        <v>-18519</v>
      </c>
      <c r="C323" s="48" t="s">
        <v>132</v>
      </c>
      <c r="D323" s="48" t="s">
        <v>41</v>
      </c>
      <c r="E323" s="48" t="s">
        <v>13</v>
      </c>
      <c r="F323" s="48"/>
      <c r="G323" s="48" t="s">
        <v>23</v>
      </c>
      <c r="H323" s="48" t="s">
        <v>38</v>
      </c>
      <c r="I323" s="48"/>
      <c r="L323" s="12"/>
      <c r="M323" s="12"/>
      <c r="N323" s="12"/>
      <c r="O323" s="12"/>
      <c r="P323" s="12"/>
      <c r="Q323" s="12"/>
    </row>
    <row r="324" spans="1:21" s="8" customFormat="1" ht="15" customHeight="1" x14ac:dyDescent="0.2">
      <c r="B324" s="9"/>
      <c r="L324" s="9"/>
      <c r="M324" s="9"/>
      <c r="N324" s="9"/>
      <c r="O324" s="9"/>
      <c r="P324" s="9"/>
      <c r="Q324" s="9"/>
    </row>
    <row r="325" spans="1:21" s="8" customFormat="1" ht="15.5" customHeight="1" x14ac:dyDescent="0.2">
      <c r="A325" s="59" t="s">
        <v>3</v>
      </c>
      <c r="B325" s="82" t="s">
        <v>201</v>
      </c>
      <c r="C325" s="60"/>
      <c r="D325" s="61"/>
      <c r="E325" s="60"/>
      <c r="F325" s="60"/>
      <c r="G325" s="60"/>
      <c r="H325" s="60"/>
      <c r="I325" s="60"/>
      <c r="L325" s="9"/>
      <c r="M325" s="9"/>
      <c r="N325" s="9"/>
      <c r="O325" s="9"/>
      <c r="P325" s="9"/>
      <c r="Q325" s="9"/>
    </row>
    <row r="326" spans="1:21" s="8" customFormat="1" ht="15" customHeight="1" x14ac:dyDescent="0.2">
      <c r="A326" s="62" t="s">
        <v>5</v>
      </c>
      <c r="B326" s="83">
        <v>1</v>
      </c>
      <c r="C326" s="60"/>
      <c r="D326" s="60"/>
      <c r="E326" s="60"/>
      <c r="F326" s="60"/>
      <c r="G326" s="60"/>
      <c r="H326" s="60"/>
      <c r="I326" s="60"/>
      <c r="L326" s="9"/>
      <c r="M326" s="9"/>
      <c r="N326" s="9"/>
      <c r="O326" s="9"/>
      <c r="P326" s="9"/>
      <c r="Q326" s="9"/>
    </row>
    <row r="327" spans="1:21" s="8" customFormat="1" ht="15" customHeight="1" x14ac:dyDescent="0.2">
      <c r="A327" s="62" t="s">
        <v>6</v>
      </c>
      <c r="B327" s="83" t="s">
        <v>202</v>
      </c>
      <c r="C327" s="60"/>
      <c r="D327" s="60"/>
      <c r="E327" s="60"/>
      <c r="F327" s="60"/>
      <c r="G327" s="60"/>
      <c r="H327" s="60"/>
      <c r="I327" s="60"/>
      <c r="L327" s="9"/>
      <c r="M327" s="9"/>
      <c r="N327" s="9"/>
      <c r="O327" s="9"/>
      <c r="P327" s="9"/>
      <c r="Q327" s="9"/>
    </row>
    <row r="328" spans="1:21" s="8" customFormat="1" ht="15" customHeight="1" x14ac:dyDescent="0.2">
      <c r="A328" s="62" t="s">
        <v>8</v>
      </c>
      <c r="B328" s="84" t="s">
        <v>203</v>
      </c>
      <c r="C328" s="60"/>
      <c r="D328" s="60"/>
      <c r="E328" s="60"/>
      <c r="F328" s="60"/>
      <c r="G328" s="60"/>
      <c r="H328" s="60"/>
      <c r="I328" s="60"/>
      <c r="L328" s="9"/>
      <c r="M328" s="9"/>
      <c r="N328" s="9"/>
      <c r="O328" s="9"/>
      <c r="P328" s="9"/>
      <c r="Q328" s="9"/>
    </row>
    <row r="329" spans="1:21" s="8" customFormat="1" ht="15" customHeight="1" x14ac:dyDescent="0.2">
      <c r="A329" s="62" t="s">
        <v>10</v>
      </c>
      <c r="B329" s="83" t="s">
        <v>467</v>
      </c>
      <c r="C329" s="60"/>
      <c r="D329" s="60"/>
      <c r="E329" s="60"/>
      <c r="F329" s="60"/>
      <c r="G329" s="60"/>
      <c r="H329" s="60"/>
      <c r="I329" s="60"/>
      <c r="L329" s="9"/>
      <c r="M329" s="9"/>
      <c r="N329" s="9"/>
      <c r="O329" s="9"/>
      <c r="P329" s="9"/>
      <c r="Q329" s="9"/>
    </row>
    <row r="330" spans="1:21" s="8" customFormat="1" ht="15.5" customHeight="1" x14ac:dyDescent="0.2">
      <c r="A330" s="62" t="s">
        <v>12</v>
      </c>
      <c r="B330" s="66" t="s">
        <v>13</v>
      </c>
      <c r="C330" s="60"/>
      <c r="D330" s="60"/>
      <c r="E330" s="60"/>
      <c r="F330" s="60"/>
      <c r="G330" s="60"/>
      <c r="H330" s="60"/>
      <c r="I330" s="64"/>
      <c r="J330" s="10"/>
      <c r="K330" s="10"/>
      <c r="L330" s="9"/>
      <c r="M330" s="9"/>
      <c r="N330" s="9"/>
      <c r="O330" s="9"/>
      <c r="P330" s="9"/>
      <c r="Q330" s="9"/>
    </row>
    <row r="331" spans="1:21" s="8" customFormat="1" ht="15.5" customHeight="1" x14ac:dyDescent="0.2">
      <c r="A331" s="64" t="s">
        <v>14</v>
      </c>
      <c r="B331" s="82"/>
      <c r="C331" s="64"/>
      <c r="D331" s="64"/>
      <c r="E331" s="64"/>
      <c r="F331" s="64"/>
      <c r="G331" s="64"/>
      <c r="H331" s="64"/>
      <c r="I331" s="61"/>
      <c r="J331" s="7"/>
      <c r="K331" s="7"/>
      <c r="L331" s="9"/>
      <c r="M331" s="9"/>
      <c r="N331" s="9"/>
      <c r="O331" s="9"/>
      <c r="P331" s="9"/>
      <c r="Q331" s="9"/>
    </row>
    <row r="332" spans="1:21" s="8" customFormat="1" ht="15.5" customHeight="1" x14ac:dyDescent="0.2">
      <c r="A332" s="64" t="s">
        <v>15</v>
      </c>
      <c r="B332" s="82" t="s">
        <v>16</v>
      </c>
      <c r="C332" s="64" t="s">
        <v>8</v>
      </c>
      <c r="D332" s="64" t="s">
        <v>10</v>
      </c>
      <c r="E332" s="64" t="s">
        <v>12</v>
      </c>
      <c r="F332" s="64" t="s">
        <v>17</v>
      </c>
      <c r="G332" s="64" t="s">
        <v>18</v>
      </c>
      <c r="H332" s="63" t="s">
        <v>19</v>
      </c>
      <c r="I332" s="65" t="s">
        <v>6</v>
      </c>
      <c r="J332" s="10"/>
      <c r="K332" s="6"/>
      <c r="L332" s="11"/>
      <c r="M332" s="11"/>
      <c r="N332" s="11"/>
      <c r="O332" s="11"/>
      <c r="P332" s="11"/>
      <c r="Q332" s="11"/>
      <c r="R332" s="6"/>
      <c r="S332" s="6"/>
      <c r="T332" s="10"/>
      <c r="U332" s="6"/>
    </row>
    <row r="333" spans="1:21" s="8" customFormat="1" ht="15.5" customHeight="1" x14ac:dyDescent="0.2">
      <c r="A333" s="63" t="s">
        <v>201</v>
      </c>
      <c r="B333" s="66">
        <v>1</v>
      </c>
      <c r="C333" s="60" t="s">
        <v>203</v>
      </c>
      <c r="D333" s="60" t="s">
        <v>467</v>
      </c>
      <c r="E333" s="60" t="s">
        <v>13</v>
      </c>
      <c r="F333" s="61"/>
      <c r="G333" s="60" t="s">
        <v>20</v>
      </c>
      <c r="H333" s="63" t="s">
        <v>2</v>
      </c>
      <c r="I333" s="61"/>
      <c r="J333" s="7"/>
      <c r="L333" s="9"/>
      <c r="M333" s="9"/>
      <c r="N333" s="9"/>
      <c r="O333" s="9"/>
      <c r="P333" s="9"/>
      <c r="Q333" s="9"/>
    </row>
    <row r="334" spans="1:21" s="8" customFormat="1" ht="15.5" customHeight="1" x14ac:dyDescent="0.2">
      <c r="A334" s="63" t="s">
        <v>204</v>
      </c>
      <c r="B334" s="63">
        <v>2.6483050847457632E-7</v>
      </c>
      <c r="C334" s="60" t="s">
        <v>205</v>
      </c>
      <c r="D334" s="60" t="s">
        <v>11</v>
      </c>
      <c r="E334" s="60" t="s">
        <v>12</v>
      </c>
      <c r="F334" s="60"/>
      <c r="G334" s="60" t="s">
        <v>23</v>
      </c>
      <c r="H334" s="60" t="s">
        <v>2</v>
      </c>
      <c r="I334" s="60" t="s">
        <v>206</v>
      </c>
      <c r="L334" s="12"/>
      <c r="M334" s="12"/>
      <c r="N334" s="12"/>
      <c r="O334" s="12"/>
      <c r="P334" s="12"/>
      <c r="Q334" s="12"/>
    </row>
    <row r="335" spans="1:21" s="8" customFormat="1" ht="15.5" customHeight="1" x14ac:dyDescent="0.2">
      <c r="A335" s="63" t="s">
        <v>207</v>
      </c>
      <c r="B335" s="63">
        <v>2.6483050847457632E-7</v>
      </c>
      <c r="C335" s="60" t="s">
        <v>208</v>
      </c>
      <c r="D335" s="60" t="s">
        <v>11</v>
      </c>
      <c r="E335" s="60" t="s">
        <v>12</v>
      </c>
      <c r="F335" s="60"/>
      <c r="G335" s="60" t="s">
        <v>23</v>
      </c>
      <c r="H335" s="60" t="s">
        <v>2</v>
      </c>
      <c r="I335" s="60" t="s">
        <v>27</v>
      </c>
      <c r="L335" s="12"/>
      <c r="M335" s="12"/>
      <c r="N335" s="12"/>
      <c r="O335" s="12"/>
      <c r="P335" s="12"/>
      <c r="Q335" s="12"/>
    </row>
    <row r="336" spans="1:21" s="8" customFormat="1" ht="15.5" customHeight="1" x14ac:dyDescent="0.2">
      <c r="A336" s="63" t="s">
        <v>209</v>
      </c>
      <c r="B336" s="63">
        <v>-2.6483050847457632E-7</v>
      </c>
      <c r="C336" s="60" t="s">
        <v>210</v>
      </c>
      <c r="D336" s="60" t="s">
        <v>11</v>
      </c>
      <c r="E336" s="60" t="s">
        <v>12</v>
      </c>
      <c r="F336" s="60"/>
      <c r="G336" s="60" t="s">
        <v>23</v>
      </c>
      <c r="H336" s="60" t="s">
        <v>2</v>
      </c>
      <c r="I336" s="60" t="s">
        <v>30</v>
      </c>
      <c r="L336" s="12"/>
      <c r="M336" s="12"/>
      <c r="N336" s="12"/>
      <c r="O336" s="12"/>
      <c r="P336" s="12"/>
      <c r="Q336" s="12"/>
    </row>
    <row r="337" spans="1:19" s="8" customFormat="1" ht="15.5" customHeight="1" x14ac:dyDescent="0.2">
      <c r="A337" s="63" t="s">
        <v>211</v>
      </c>
      <c r="B337" s="63">
        <v>-2.6483050847457632E-7</v>
      </c>
      <c r="C337" s="60" t="s">
        <v>212</v>
      </c>
      <c r="D337" s="60" t="s">
        <v>11</v>
      </c>
      <c r="E337" s="60" t="s">
        <v>12</v>
      </c>
      <c r="F337" s="60"/>
      <c r="G337" s="60" t="s">
        <v>23</v>
      </c>
      <c r="H337" s="60" t="s">
        <v>2</v>
      </c>
      <c r="I337" s="60" t="s">
        <v>34</v>
      </c>
      <c r="L337" s="12"/>
      <c r="M337" s="12"/>
      <c r="N337" s="12"/>
      <c r="O337" s="12"/>
      <c r="P337" s="12"/>
      <c r="Q337" s="12"/>
    </row>
    <row r="338" spans="1:19" s="8" customFormat="1" ht="15.5" customHeight="1" x14ac:dyDescent="0.2">
      <c r="A338" s="62" t="s">
        <v>36</v>
      </c>
      <c r="B338" s="66">
        <v>42.3</v>
      </c>
      <c r="C338" s="60" t="s">
        <v>36</v>
      </c>
      <c r="D338" s="60" t="s">
        <v>467</v>
      </c>
      <c r="E338" s="60" t="s">
        <v>37</v>
      </c>
      <c r="F338" s="61"/>
      <c r="G338" s="60" t="s">
        <v>23</v>
      </c>
      <c r="H338" s="60" t="s">
        <v>38</v>
      </c>
      <c r="I338" s="61" t="s">
        <v>213</v>
      </c>
      <c r="L338" s="12"/>
      <c r="M338" s="12"/>
      <c r="N338" s="12"/>
      <c r="O338" s="12"/>
      <c r="P338" s="12"/>
      <c r="Q338" s="12"/>
    </row>
    <row r="339" spans="1:19" s="8" customFormat="1" ht="15.5" customHeight="1" x14ac:dyDescent="0.2">
      <c r="A339" s="62" t="s">
        <v>214</v>
      </c>
      <c r="B339" s="63">
        <v>0</v>
      </c>
      <c r="C339" s="60" t="s">
        <v>214</v>
      </c>
      <c r="D339" s="60" t="s">
        <v>467</v>
      </c>
      <c r="E339" s="60" t="s">
        <v>215</v>
      </c>
      <c r="F339" s="61"/>
      <c r="G339" s="60" t="s">
        <v>23</v>
      </c>
      <c r="H339" s="60" t="s">
        <v>38</v>
      </c>
      <c r="I339" s="61" t="s">
        <v>216</v>
      </c>
      <c r="L339" s="12"/>
      <c r="M339" s="12"/>
      <c r="N339" s="12"/>
      <c r="O339" s="12"/>
      <c r="P339" s="12"/>
      <c r="Q339" s="12"/>
    </row>
    <row r="340" spans="1:19" s="8" customFormat="1" ht="15.5" customHeight="1" x14ac:dyDescent="0.2">
      <c r="A340" s="62" t="s">
        <v>468</v>
      </c>
      <c r="B340" s="66">
        <v>14</v>
      </c>
      <c r="C340" s="60" t="s">
        <v>468</v>
      </c>
      <c r="D340" s="60" t="s">
        <v>467</v>
      </c>
      <c r="E340" s="60" t="s">
        <v>13</v>
      </c>
      <c r="F340" s="60"/>
      <c r="G340" s="60" t="s">
        <v>23</v>
      </c>
      <c r="H340" s="60" t="s">
        <v>38</v>
      </c>
      <c r="I340" s="67" t="s">
        <v>42</v>
      </c>
      <c r="L340" s="12"/>
      <c r="M340" s="12"/>
      <c r="N340" s="12"/>
      <c r="O340" s="12"/>
      <c r="P340" s="12"/>
      <c r="Q340" s="12"/>
    </row>
    <row r="341" spans="1:19" s="8" customFormat="1" ht="15.5" customHeight="1" x14ac:dyDescent="0.2">
      <c r="A341" s="68" t="s">
        <v>43</v>
      </c>
      <c r="B341" s="63">
        <v>8</v>
      </c>
      <c r="C341" s="68"/>
      <c r="D341" s="68"/>
      <c r="E341" s="68" t="s">
        <v>13</v>
      </c>
      <c r="F341" s="68" t="s">
        <v>44</v>
      </c>
      <c r="G341" s="68" t="s">
        <v>45</v>
      </c>
      <c r="H341" s="68" t="s">
        <v>46</v>
      </c>
      <c r="I341" s="68"/>
      <c r="L341" s="12"/>
      <c r="M341" s="12"/>
      <c r="N341" s="12"/>
      <c r="O341" s="12"/>
      <c r="P341" s="12"/>
      <c r="Q341" s="12"/>
      <c r="R341" s="12"/>
    </row>
    <row r="342" spans="1:19" s="8" customFormat="1" ht="15.5" customHeight="1" x14ac:dyDescent="0.2">
      <c r="A342" s="68" t="s">
        <v>47</v>
      </c>
      <c r="B342" s="63">
        <v>1.0593220338983051E-4</v>
      </c>
      <c r="C342" s="60"/>
      <c r="D342" s="68"/>
      <c r="E342" s="68" t="s">
        <v>48</v>
      </c>
      <c r="F342" s="68" t="s">
        <v>49</v>
      </c>
      <c r="G342" s="68" t="s">
        <v>45</v>
      </c>
      <c r="H342" s="68" t="s">
        <v>46</v>
      </c>
      <c r="I342" s="68" t="s">
        <v>217</v>
      </c>
      <c r="J342" s="8">
        <v>2</v>
      </c>
      <c r="K342">
        <v>-9.1527112591395472</v>
      </c>
      <c r="L342" s="12">
        <v>1.05</v>
      </c>
      <c r="M342" s="12">
        <v>1.1000000000000001</v>
      </c>
      <c r="N342" s="12">
        <v>1</v>
      </c>
      <c r="O342" s="12">
        <v>1.02</v>
      </c>
      <c r="P342" s="12">
        <v>1.2</v>
      </c>
      <c r="Q342" s="12">
        <v>1.2</v>
      </c>
      <c r="R342" s="12">
        <v>1.5</v>
      </c>
      <c r="S342">
        <v>0.24634371748562631</v>
      </c>
    </row>
    <row r="343" spans="1:19" s="8" customFormat="1" ht="15.5" customHeight="1" x14ac:dyDescent="0.2">
      <c r="A343" s="68" t="s">
        <v>51</v>
      </c>
      <c r="B343" s="63">
        <v>5.2966101694915258E-6</v>
      </c>
      <c r="C343" s="60"/>
      <c r="D343" s="68"/>
      <c r="E343" s="68" t="s">
        <v>52</v>
      </c>
      <c r="F343" s="68" t="s">
        <v>49</v>
      </c>
      <c r="G343" s="68" t="s">
        <v>45</v>
      </c>
      <c r="H343" s="68" t="s">
        <v>46</v>
      </c>
      <c r="I343" s="68" t="s">
        <v>218</v>
      </c>
      <c r="J343" s="8">
        <v>2</v>
      </c>
      <c r="K343">
        <v>-12.148443532693539</v>
      </c>
      <c r="L343" s="12">
        <v>1.05</v>
      </c>
      <c r="M343" s="12">
        <v>1.1000000000000001</v>
      </c>
      <c r="N343" s="12">
        <v>1</v>
      </c>
      <c r="O343" s="12">
        <v>1.02</v>
      </c>
      <c r="P343" s="12">
        <v>1.2</v>
      </c>
      <c r="Q343" s="12">
        <v>1.2</v>
      </c>
      <c r="R343" s="12">
        <v>1.5</v>
      </c>
      <c r="S343">
        <v>0.24634371748562631</v>
      </c>
    </row>
    <row r="344" spans="1:19" s="8" customFormat="1" ht="15.5" customHeight="1" x14ac:dyDescent="0.2">
      <c r="A344" s="68" t="s">
        <v>54</v>
      </c>
      <c r="B344" s="63">
        <v>5.2966101694915258E-6</v>
      </c>
      <c r="C344" s="60"/>
      <c r="D344" s="68"/>
      <c r="E344" s="68" t="s">
        <v>52</v>
      </c>
      <c r="F344" s="68" t="s">
        <v>49</v>
      </c>
      <c r="G344" s="68" t="s">
        <v>45</v>
      </c>
      <c r="H344" s="68" t="s">
        <v>46</v>
      </c>
      <c r="I344" s="68" t="s">
        <v>218</v>
      </c>
      <c r="J344" s="8">
        <v>2</v>
      </c>
      <c r="K344">
        <v>-12.148443532693539</v>
      </c>
      <c r="L344" s="12">
        <v>1.05</v>
      </c>
      <c r="M344" s="12">
        <v>1.1000000000000001</v>
      </c>
      <c r="N344" s="12">
        <v>1</v>
      </c>
      <c r="O344" s="12">
        <v>1.02</v>
      </c>
      <c r="P344" s="12">
        <v>1.2</v>
      </c>
      <c r="Q344" s="12">
        <v>1.2</v>
      </c>
      <c r="R344" s="12">
        <v>1.5</v>
      </c>
      <c r="S344">
        <v>0.24634371748562631</v>
      </c>
    </row>
    <row r="345" spans="1:19" s="8" customFormat="1" ht="15" customHeight="1" x14ac:dyDescent="0.2">
      <c r="B345" s="9"/>
      <c r="L345" s="9"/>
      <c r="M345" s="9"/>
      <c r="N345" s="9"/>
      <c r="O345" s="9"/>
      <c r="P345" s="9"/>
      <c r="Q345" s="9"/>
    </row>
    <row r="346" spans="1:19" s="8" customFormat="1" ht="15.5" customHeight="1" x14ac:dyDescent="0.2">
      <c r="A346" s="59" t="s">
        <v>3</v>
      </c>
      <c r="B346" s="82" t="s">
        <v>219</v>
      </c>
      <c r="C346" s="60"/>
      <c r="D346" s="61"/>
      <c r="E346" s="60"/>
      <c r="F346" s="60"/>
      <c r="G346" s="60"/>
      <c r="H346" s="60"/>
      <c r="I346" s="60"/>
      <c r="L346" s="9"/>
      <c r="M346" s="9"/>
      <c r="N346" s="9"/>
      <c r="O346" s="9"/>
      <c r="P346" s="9"/>
      <c r="Q346" s="9"/>
    </row>
    <row r="347" spans="1:19" s="8" customFormat="1" ht="15" customHeight="1" x14ac:dyDescent="0.2">
      <c r="A347" s="62" t="s">
        <v>5</v>
      </c>
      <c r="B347" s="83">
        <v>1</v>
      </c>
      <c r="C347" s="60"/>
      <c r="D347" s="60"/>
      <c r="E347" s="60"/>
      <c r="F347" s="60"/>
      <c r="G347" s="60"/>
      <c r="H347" s="60"/>
      <c r="I347" s="60"/>
      <c r="L347" s="9"/>
      <c r="M347" s="9"/>
      <c r="N347" s="9"/>
      <c r="O347" s="9"/>
      <c r="P347" s="9"/>
      <c r="Q347" s="9"/>
    </row>
    <row r="348" spans="1:19" s="8" customFormat="1" ht="15" customHeight="1" x14ac:dyDescent="0.2">
      <c r="A348" s="62" t="s">
        <v>6</v>
      </c>
      <c r="B348" s="83" t="s">
        <v>202</v>
      </c>
      <c r="C348" s="60"/>
      <c r="D348" s="60"/>
      <c r="E348" s="60"/>
      <c r="F348" s="60"/>
      <c r="G348" s="60"/>
      <c r="H348" s="60"/>
      <c r="I348" s="60"/>
      <c r="L348" s="9"/>
      <c r="M348" s="9"/>
      <c r="N348" s="9"/>
      <c r="O348" s="9"/>
      <c r="P348" s="9"/>
      <c r="Q348" s="9"/>
    </row>
    <row r="349" spans="1:19" s="8" customFormat="1" ht="15" customHeight="1" x14ac:dyDescent="0.2">
      <c r="A349" s="62" t="s">
        <v>8</v>
      </c>
      <c r="B349" s="84" t="s">
        <v>203</v>
      </c>
      <c r="C349" s="60"/>
      <c r="D349" s="60"/>
      <c r="E349" s="60"/>
      <c r="F349" s="60"/>
      <c r="G349" s="60"/>
      <c r="H349" s="60"/>
      <c r="I349" s="60"/>
      <c r="L349" s="9"/>
      <c r="M349" s="9"/>
      <c r="N349" s="9"/>
      <c r="O349" s="9"/>
      <c r="P349" s="9"/>
      <c r="Q349" s="9"/>
    </row>
    <row r="350" spans="1:19" s="8" customFormat="1" ht="15" customHeight="1" x14ac:dyDescent="0.2">
      <c r="A350" s="62" t="s">
        <v>10</v>
      </c>
      <c r="B350" s="83" t="s">
        <v>467</v>
      </c>
      <c r="C350" s="60"/>
      <c r="D350" s="60"/>
      <c r="E350" s="60"/>
      <c r="F350" s="60"/>
      <c r="G350" s="60"/>
      <c r="H350" s="60"/>
      <c r="I350" s="60"/>
      <c r="L350" s="9"/>
      <c r="M350" s="9"/>
      <c r="N350" s="9"/>
      <c r="O350" s="9"/>
      <c r="P350" s="9"/>
      <c r="Q350" s="9"/>
    </row>
    <row r="351" spans="1:19" s="8" customFormat="1" ht="15.5" customHeight="1" x14ac:dyDescent="0.2">
      <c r="A351" s="62" t="s">
        <v>12</v>
      </c>
      <c r="B351" s="66" t="s">
        <v>13</v>
      </c>
      <c r="C351" s="60"/>
      <c r="D351" s="60"/>
      <c r="E351" s="60"/>
      <c r="F351" s="60"/>
      <c r="G351" s="60"/>
      <c r="H351" s="60"/>
      <c r="I351" s="64"/>
      <c r="J351" s="10"/>
      <c r="K351" s="10"/>
      <c r="L351" s="9"/>
      <c r="M351" s="9"/>
      <c r="N351" s="9"/>
      <c r="O351" s="9"/>
      <c r="P351" s="9"/>
      <c r="Q351" s="9"/>
    </row>
    <row r="352" spans="1:19" s="8" customFormat="1" ht="15.5" customHeight="1" x14ac:dyDescent="0.2">
      <c r="A352" s="64" t="s">
        <v>14</v>
      </c>
      <c r="B352" s="82"/>
      <c r="C352" s="64"/>
      <c r="D352" s="64"/>
      <c r="E352" s="64"/>
      <c r="F352" s="64"/>
      <c r="G352" s="64"/>
      <c r="H352" s="64"/>
      <c r="I352" s="61"/>
      <c r="J352" s="7"/>
      <c r="K352" s="7"/>
      <c r="L352" s="9"/>
      <c r="M352" s="9"/>
      <c r="N352" s="9"/>
      <c r="O352" s="9"/>
      <c r="P352" s="9"/>
      <c r="Q352" s="9"/>
    </row>
    <row r="353" spans="1:21" s="8" customFormat="1" ht="15.5" customHeight="1" x14ac:dyDescent="0.2">
      <c r="A353" s="64" t="s">
        <v>15</v>
      </c>
      <c r="B353" s="82" t="s">
        <v>16</v>
      </c>
      <c r="C353" s="64" t="s">
        <v>8</v>
      </c>
      <c r="D353" s="64" t="s">
        <v>10</v>
      </c>
      <c r="E353" s="64" t="s">
        <v>12</v>
      </c>
      <c r="F353" s="64" t="s">
        <v>17</v>
      </c>
      <c r="G353" s="64" t="s">
        <v>18</v>
      </c>
      <c r="H353" s="63" t="s">
        <v>19</v>
      </c>
      <c r="I353" s="65" t="s">
        <v>6</v>
      </c>
      <c r="J353" s="10"/>
      <c r="K353" s="6"/>
      <c r="L353" s="11"/>
      <c r="M353" s="11"/>
      <c r="N353" s="11"/>
      <c r="O353" s="11"/>
      <c r="P353" s="11"/>
      <c r="Q353" s="11"/>
      <c r="R353" s="6"/>
      <c r="S353" s="6"/>
      <c r="T353" s="10"/>
      <c r="U353" s="6"/>
    </row>
    <row r="354" spans="1:21" s="8" customFormat="1" ht="15.5" customHeight="1" x14ac:dyDescent="0.2">
      <c r="A354" s="63" t="s">
        <v>219</v>
      </c>
      <c r="B354" s="66">
        <v>1</v>
      </c>
      <c r="C354" s="60" t="s">
        <v>203</v>
      </c>
      <c r="D354" s="60" t="s">
        <v>467</v>
      </c>
      <c r="E354" s="60" t="s">
        <v>13</v>
      </c>
      <c r="F354" s="61"/>
      <c r="G354" s="60" t="s">
        <v>20</v>
      </c>
      <c r="H354" s="63" t="s">
        <v>2</v>
      </c>
      <c r="I354" s="61"/>
      <c r="J354" s="7"/>
      <c r="L354" s="9"/>
      <c r="M354" s="9"/>
      <c r="N354" s="9"/>
      <c r="O354" s="9"/>
      <c r="P354" s="9"/>
      <c r="Q354" s="9"/>
    </row>
    <row r="355" spans="1:21" s="8" customFormat="1" ht="15.5" customHeight="1" x14ac:dyDescent="0.2">
      <c r="A355" s="63" t="s">
        <v>204</v>
      </c>
      <c r="B355" s="63">
        <v>2.6483050847457632E-7</v>
      </c>
      <c r="C355" s="60" t="s">
        <v>205</v>
      </c>
      <c r="D355" s="60" t="s">
        <v>11</v>
      </c>
      <c r="E355" s="60" t="s">
        <v>12</v>
      </c>
      <c r="F355" s="60"/>
      <c r="G355" s="60" t="s">
        <v>23</v>
      </c>
      <c r="H355" s="60" t="s">
        <v>2</v>
      </c>
      <c r="I355" s="60" t="s">
        <v>206</v>
      </c>
      <c r="L355" s="12"/>
      <c r="M355" s="12"/>
      <c r="N355" s="12"/>
      <c r="O355" s="12"/>
      <c r="P355" s="12"/>
      <c r="Q355" s="12"/>
    </row>
    <row r="356" spans="1:21" s="8" customFormat="1" ht="15.5" customHeight="1" x14ac:dyDescent="0.2">
      <c r="A356" s="63" t="s">
        <v>207</v>
      </c>
      <c r="B356" s="63">
        <v>2.6483050847457632E-7</v>
      </c>
      <c r="C356" s="60" t="s">
        <v>208</v>
      </c>
      <c r="D356" s="60" t="s">
        <v>11</v>
      </c>
      <c r="E356" s="60" t="s">
        <v>12</v>
      </c>
      <c r="F356" s="60"/>
      <c r="G356" s="60" t="s">
        <v>23</v>
      </c>
      <c r="H356" s="60" t="s">
        <v>2</v>
      </c>
      <c r="I356" s="60" t="s">
        <v>27</v>
      </c>
      <c r="L356" s="12"/>
      <c r="M356" s="12"/>
      <c r="N356" s="12"/>
      <c r="O356" s="12"/>
      <c r="P356" s="12"/>
      <c r="Q356" s="12"/>
    </row>
    <row r="357" spans="1:21" s="8" customFormat="1" ht="15.5" customHeight="1" x14ac:dyDescent="0.2">
      <c r="A357" s="63" t="s">
        <v>209</v>
      </c>
      <c r="B357" s="63">
        <v>-2.6483050847457632E-7</v>
      </c>
      <c r="C357" s="60" t="s">
        <v>210</v>
      </c>
      <c r="D357" s="60" t="s">
        <v>11</v>
      </c>
      <c r="E357" s="60" t="s">
        <v>12</v>
      </c>
      <c r="F357" s="60"/>
      <c r="G357" s="60" t="s">
        <v>23</v>
      </c>
      <c r="H357" s="60" t="s">
        <v>2</v>
      </c>
      <c r="I357" s="60" t="s">
        <v>30</v>
      </c>
      <c r="L357" s="12"/>
      <c r="M357" s="12"/>
      <c r="N357" s="12"/>
      <c r="O357" s="12"/>
      <c r="P357" s="12"/>
      <c r="Q357" s="12"/>
    </row>
    <row r="358" spans="1:21" s="8" customFormat="1" ht="15.5" customHeight="1" x14ac:dyDescent="0.2">
      <c r="A358" s="63" t="s">
        <v>211</v>
      </c>
      <c r="B358" s="63">
        <v>-2.6483050847457632E-7</v>
      </c>
      <c r="C358" s="60" t="s">
        <v>212</v>
      </c>
      <c r="D358" s="60" t="s">
        <v>11</v>
      </c>
      <c r="E358" s="60" t="s">
        <v>12</v>
      </c>
      <c r="F358" s="60"/>
      <c r="G358" s="60" t="s">
        <v>23</v>
      </c>
      <c r="H358" s="60" t="s">
        <v>2</v>
      </c>
      <c r="I358" s="60" t="s">
        <v>34</v>
      </c>
      <c r="L358" s="12"/>
      <c r="M358" s="12"/>
      <c r="N358" s="12"/>
      <c r="O358" s="12"/>
      <c r="P358" s="12"/>
      <c r="Q358" s="12"/>
    </row>
    <row r="359" spans="1:21" s="8" customFormat="1" ht="15.5" customHeight="1" x14ac:dyDescent="0.2">
      <c r="A359" s="62" t="s">
        <v>36</v>
      </c>
      <c r="B359" s="66">
        <v>39</v>
      </c>
      <c r="C359" s="60" t="s">
        <v>36</v>
      </c>
      <c r="D359" s="60" t="s">
        <v>467</v>
      </c>
      <c r="E359" s="60" t="s">
        <v>37</v>
      </c>
      <c r="F359" s="61"/>
      <c r="G359" s="60" t="s">
        <v>23</v>
      </c>
      <c r="H359" s="60" t="s">
        <v>38</v>
      </c>
      <c r="I359" s="61" t="s">
        <v>213</v>
      </c>
      <c r="L359" s="12"/>
      <c r="M359" s="12"/>
      <c r="N359" s="12"/>
      <c r="O359" s="12"/>
      <c r="P359" s="12"/>
      <c r="Q359" s="12"/>
    </row>
    <row r="360" spans="1:21" s="8" customFormat="1" ht="15.5" customHeight="1" x14ac:dyDescent="0.2">
      <c r="A360" s="62" t="s">
        <v>214</v>
      </c>
      <c r="B360" s="66">
        <v>16</v>
      </c>
      <c r="C360" s="60" t="s">
        <v>214</v>
      </c>
      <c r="D360" s="60" t="s">
        <v>467</v>
      </c>
      <c r="E360" s="60" t="s">
        <v>215</v>
      </c>
      <c r="F360" s="61"/>
      <c r="G360" s="60" t="s">
        <v>23</v>
      </c>
      <c r="H360" s="60" t="s">
        <v>38</v>
      </c>
      <c r="I360" s="61" t="s">
        <v>220</v>
      </c>
      <c r="L360" s="12"/>
      <c r="M360" s="12"/>
      <c r="N360" s="12"/>
      <c r="O360" s="12"/>
      <c r="P360" s="12"/>
      <c r="Q360" s="12"/>
    </row>
    <row r="361" spans="1:21" s="8" customFormat="1" ht="15.5" customHeight="1" x14ac:dyDescent="0.2">
      <c r="A361" s="62" t="s">
        <v>468</v>
      </c>
      <c r="B361" s="66">
        <v>14</v>
      </c>
      <c r="C361" s="60" t="s">
        <v>468</v>
      </c>
      <c r="D361" s="60" t="s">
        <v>467</v>
      </c>
      <c r="E361" s="60" t="s">
        <v>13</v>
      </c>
      <c r="F361" s="60"/>
      <c r="G361" s="60" t="s">
        <v>23</v>
      </c>
      <c r="H361" s="60" t="s">
        <v>38</v>
      </c>
      <c r="I361" s="67" t="s">
        <v>42</v>
      </c>
      <c r="L361" s="12"/>
      <c r="M361" s="12"/>
      <c r="N361" s="12"/>
      <c r="O361" s="12"/>
      <c r="P361" s="12"/>
      <c r="Q361" s="12"/>
    </row>
    <row r="362" spans="1:21" s="8" customFormat="1" ht="15.5" customHeight="1" x14ac:dyDescent="0.2">
      <c r="A362" s="68" t="s">
        <v>43</v>
      </c>
      <c r="B362" s="84">
        <v>8</v>
      </c>
      <c r="C362" s="68"/>
      <c r="D362" s="68"/>
      <c r="E362" s="68" t="s">
        <v>13</v>
      </c>
      <c r="F362" s="68" t="s">
        <v>44</v>
      </c>
      <c r="G362" s="68" t="s">
        <v>45</v>
      </c>
      <c r="H362" s="68" t="s">
        <v>46</v>
      </c>
      <c r="I362" s="68"/>
      <c r="L362" s="12"/>
      <c r="M362" s="12"/>
      <c r="N362" s="12"/>
      <c r="O362" s="12"/>
      <c r="P362" s="12"/>
      <c r="Q362" s="12"/>
      <c r="R362" s="12"/>
    </row>
    <row r="363" spans="1:21" s="8" customFormat="1" ht="15.5" customHeight="1" x14ac:dyDescent="0.2">
      <c r="A363" s="68" t="s">
        <v>47</v>
      </c>
      <c r="B363" s="63">
        <v>2.6483050847457632E-4</v>
      </c>
      <c r="C363" s="60"/>
      <c r="D363" s="68"/>
      <c r="E363" s="68" t="s">
        <v>48</v>
      </c>
      <c r="F363" s="68" t="s">
        <v>49</v>
      </c>
      <c r="G363" s="68" t="s">
        <v>45</v>
      </c>
      <c r="H363" s="68" t="s">
        <v>46</v>
      </c>
      <c r="I363" s="68" t="s">
        <v>217</v>
      </c>
      <c r="J363" s="8">
        <v>2</v>
      </c>
      <c r="K363">
        <v>-8.2364205272653912</v>
      </c>
      <c r="L363" s="12">
        <v>1.05</v>
      </c>
      <c r="M363" s="12">
        <v>1.1000000000000001</v>
      </c>
      <c r="N363" s="12">
        <v>1</v>
      </c>
      <c r="O363" s="12">
        <v>1.02</v>
      </c>
      <c r="P363" s="12">
        <v>1.2</v>
      </c>
      <c r="Q363" s="12">
        <v>1.2</v>
      </c>
      <c r="R363" s="12">
        <v>1.5</v>
      </c>
      <c r="S363">
        <v>0.24634371748562631</v>
      </c>
    </row>
    <row r="364" spans="1:21" s="8" customFormat="1" ht="15.5" customHeight="1" x14ac:dyDescent="0.2">
      <c r="A364" s="68" t="s">
        <v>51</v>
      </c>
      <c r="B364" s="63">
        <v>1.324152542372881E-5</v>
      </c>
      <c r="C364" s="60"/>
      <c r="D364" s="68"/>
      <c r="E364" s="68" t="s">
        <v>52</v>
      </c>
      <c r="F364" s="68" t="s">
        <v>49</v>
      </c>
      <c r="G364" s="68" t="s">
        <v>45</v>
      </c>
      <c r="H364" s="68" t="s">
        <v>46</v>
      </c>
      <c r="I364" s="68" t="s">
        <v>218</v>
      </c>
      <c r="J364" s="8">
        <v>2</v>
      </c>
      <c r="K364">
        <v>-11.23215280081938</v>
      </c>
      <c r="L364" s="12">
        <v>1.05</v>
      </c>
      <c r="M364" s="12">
        <v>1.1000000000000001</v>
      </c>
      <c r="N364" s="12">
        <v>1</v>
      </c>
      <c r="O364" s="12">
        <v>1.02</v>
      </c>
      <c r="P364" s="12">
        <v>1.2</v>
      </c>
      <c r="Q364" s="12">
        <v>1.2</v>
      </c>
      <c r="R364" s="12">
        <v>1.5</v>
      </c>
      <c r="S364">
        <v>0.24634371748562631</v>
      </c>
    </row>
    <row r="365" spans="1:21" s="8" customFormat="1" ht="15.5" customHeight="1" x14ac:dyDescent="0.2">
      <c r="A365" s="68" t="s">
        <v>54</v>
      </c>
      <c r="B365" s="63">
        <v>1.324152542372881E-5</v>
      </c>
      <c r="C365" s="60"/>
      <c r="D365" s="68"/>
      <c r="E365" s="68" t="s">
        <v>52</v>
      </c>
      <c r="F365" s="68" t="s">
        <v>49</v>
      </c>
      <c r="G365" s="68" t="s">
        <v>45</v>
      </c>
      <c r="H365" s="68" t="s">
        <v>46</v>
      </c>
      <c r="I365" s="68" t="s">
        <v>218</v>
      </c>
      <c r="J365" s="8">
        <v>2</v>
      </c>
      <c r="K365">
        <v>-11.23215280081938</v>
      </c>
      <c r="L365" s="12">
        <v>1.05</v>
      </c>
      <c r="M365" s="12">
        <v>1.1000000000000001</v>
      </c>
      <c r="N365" s="12">
        <v>1</v>
      </c>
      <c r="O365" s="12">
        <v>1.02</v>
      </c>
      <c r="P365" s="12">
        <v>1.2</v>
      </c>
      <c r="Q365" s="12">
        <v>1.2</v>
      </c>
      <c r="R365" s="12">
        <v>1.5</v>
      </c>
      <c r="S365">
        <v>0.24634371748562631</v>
      </c>
    </row>
    <row r="366" spans="1:21" s="8" customFormat="1" ht="15" customHeight="1" x14ac:dyDescent="0.2">
      <c r="B366" s="9"/>
      <c r="L366" s="9"/>
      <c r="M366" s="9"/>
      <c r="N366" s="9"/>
      <c r="O366" s="9"/>
      <c r="P366" s="9"/>
      <c r="Q366" s="9"/>
    </row>
    <row r="367" spans="1:21" s="8" customFormat="1" ht="15.5" customHeight="1" x14ac:dyDescent="0.2">
      <c r="A367" s="59" t="s">
        <v>3</v>
      </c>
      <c r="B367" s="82" t="s">
        <v>204</v>
      </c>
      <c r="C367" s="60"/>
      <c r="D367" s="60"/>
      <c r="E367" s="60"/>
      <c r="F367" s="60"/>
      <c r="G367" s="60"/>
      <c r="H367" s="60"/>
      <c r="I367" s="60"/>
      <c r="L367" s="9"/>
      <c r="M367" s="9"/>
      <c r="N367" s="9"/>
      <c r="O367" s="9"/>
      <c r="P367" s="9"/>
      <c r="Q367" s="9"/>
    </row>
    <row r="368" spans="1:21" s="8" customFormat="1" ht="15" customHeight="1" x14ac:dyDescent="0.2">
      <c r="A368" s="62" t="s">
        <v>5</v>
      </c>
      <c r="B368" s="83">
        <v>1</v>
      </c>
      <c r="C368" s="60"/>
      <c r="D368" s="60"/>
      <c r="E368" s="60"/>
      <c r="F368" s="60"/>
      <c r="G368" s="60"/>
      <c r="H368" s="60"/>
      <c r="I368" s="60"/>
      <c r="L368" s="9"/>
      <c r="M368" s="9"/>
      <c r="N368" s="9"/>
      <c r="O368" s="9"/>
      <c r="P368" s="9"/>
      <c r="Q368" s="9"/>
    </row>
    <row r="369" spans="1:21" s="8" customFormat="1" ht="15" customHeight="1" x14ac:dyDescent="0.2">
      <c r="A369" s="62" t="s">
        <v>6</v>
      </c>
      <c r="B369" s="83" t="s">
        <v>221</v>
      </c>
      <c r="C369" s="60"/>
      <c r="D369" s="60"/>
      <c r="E369" s="60"/>
      <c r="F369" s="60"/>
      <c r="G369" s="60"/>
      <c r="H369" s="60"/>
      <c r="I369" s="60"/>
      <c r="L369" s="9"/>
      <c r="M369" s="9"/>
      <c r="N369" s="9"/>
      <c r="O369" s="9"/>
      <c r="P369" s="9"/>
      <c r="Q369" s="9"/>
    </row>
    <row r="370" spans="1:21" s="8" customFormat="1" ht="15" customHeight="1" x14ac:dyDescent="0.2">
      <c r="A370" s="62" t="s">
        <v>8</v>
      </c>
      <c r="B370" s="66" t="s">
        <v>205</v>
      </c>
      <c r="C370" s="60"/>
      <c r="D370" s="60"/>
      <c r="E370" s="60"/>
      <c r="F370" s="60"/>
      <c r="G370" s="60"/>
      <c r="H370" s="60"/>
      <c r="I370" s="60"/>
      <c r="L370" s="9"/>
      <c r="M370" s="9"/>
      <c r="N370" s="9"/>
      <c r="O370" s="9"/>
      <c r="P370" s="9"/>
      <c r="Q370" s="9"/>
    </row>
    <row r="371" spans="1:21" s="8" customFormat="1" ht="15" customHeight="1" x14ac:dyDescent="0.2">
      <c r="A371" s="62" t="s">
        <v>10</v>
      </c>
      <c r="B371" s="83" t="s">
        <v>11</v>
      </c>
      <c r="C371" s="60"/>
      <c r="D371" s="60"/>
      <c r="E371" s="60"/>
      <c r="F371" s="60"/>
      <c r="G371" s="60"/>
      <c r="H371" s="60"/>
      <c r="I371" s="60"/>
      <c r="L371" s="9"/>
      <c r="M371" s="9"/>
      <c r="N371" s="9"/>
      <c r="O371" s="9"/>
      <c r="P371" s="9"/>
      <c r="Q371" s="9"/>
    </row>
    <row r="372" spans="1:21" s="8" customFormat="1" ht="15" customHeight="1" x14ac:dyDescent="0.2">
      <c r="A372" s="62" t="s">
        <v>12</v>
      </c>
      <c r="B372" s="66" t="s">
        <v>12</v>
      </c>
      <c r="C372" s="60"/>
      <c r="D372" s="60"/>
      <c r="E372" s="60"/>
      <c r="F372" s="60"/>
      <c r="G372" s="60"/>
      <c r="H372" s="60"/>
      <c r="I372" s="60"/>
      <c r="L372" s="9"/>
      <c r="M372" s="9"/>
      <c r="N372" s="9"/>
      <c r="O372" s="9"/>
      <c r="P372" s="9"/>
      <c r="Q372" s="9"/>
    </row>
    <row r="373" spans="1:21" s="8" customFormat="1" ht="15.5" customHeight="1" x14ac:dyDescent="0.2">
      <c r="A373" s="64" t="s">
        <v>14</v>
      </c>
      <c r="B373" s="82"/>
      <c r="C373" s="64"/>
      <c r="D373" s="64"/>
      <c r="E373" s="64"/>
      <c r="F373" s="64"/>
      <c r="G373" s="64"/>
      <c r="H373" s="64"/>
      <c r="I373" s="64"/>
      <c r="J373" s="10"/>
      <c r="K373" s="10"/>
      <c r="L373" s="9"/>
      <c r="M373" s="9"/>
      <c r="N373" s="9"/>
      <c r="O373" s="9"/>
      <c r="P373" s="9"/>
      <c r="Q373" s="9"/>
    </row>
    <row r="374" spans="1:21" s="8" customFormat="1" ht="15.5" customHeight="1" x14ac:dyDescent="0.2">
      <c r="A374" s="64" t="s">
        <v>15</v>
      </c>
      <c r="B374" s="82" t="s">
        <v>16</v>
      </c>
      <c r="C374" s="64" t="s">
        <v>8</v>
      </c>
      <c r="D374" s="64" t="s">
        <v>10</v>
      </c>
      <c r="E374" s="64" t="s">
        <v>12</v>
      </c>
      <c r="F374" s="65" t="s">
        <v>17</v>
      </c>
      <c r="G374" s="64" t="s">
        <v>18</v>
      </c>
      <c r="H374" s="63" t="s">
        <v>19</v>
      </c>
      <c r="I374" s="65" t="s">
        <v>6</v>
      </c>
      <c r="J374" s="10"/>
      <c r="K374" s="6"/>
      <c r="L374" s="11"/>
      <c r="M374" s="11"/>
      <c r="N374" s="11"/>
      <c r="O374" s="11"/>
      <c r="P374" s="11"/>
      <c r="Q374" s="11"/>
      <c r="R374" s="6"/>
      <c r="S374" s="6"/>
      <c r="T374" s="10"/>
      <c r="U374" s="6"/>
    </row>
    <row r="375" spans="1:21" s="8" customFormat="1" ht="15" customHeight="1" x14ac:dyDescent="0.2">
      <c r="A375" s="63" t="s">
        <v>204</v>
      </c>
      <c r="B375" s="66">
        <v>1</v>
      </c>
      <c r="C375" s="60" t="s">
        <v>205</v>
      </c>
      <c r="D375" s="60" t="s">
        <v>11</v>
      </c>
      <c r="E375" s="60" t="s">
        <v>12</v>
      </c>
      <c r="F375" s="60"/>
      <c r="G375" s="60" t="s">
        <v>20</v>
      </c>
      <c r="H375" s="63" t="s">
        <v>2</v>
      </c>
      <c r="I375" s="60"/>
      <c r="L375" s="9"/>
      <c r="M375" s="9"/>
      <c r="N375" s="9"/>
      <c r="O375" s="9"/>
      <c r="P375" s="9"/>
      <c r="Q375" s="9"/>
    </row>
    <row r="376" spans="1:21" s="8" customFormat="1" ht="15.5" customHeight="1" x14ac:dyDescent="0.2">
      <c r="A376" s="60" t="s">
        <v>73</v>
      </c>
      <c r="B376" s="66">
        <v>8976.1</v>
      </c>
      <c r="C376" s="60" t="s">
        <v>73</v>
      </c>
      <c r="D376" s="60" t="s">
        <v>11</v>
      </c>
      <c r="E376" s="60" t="s">
        <v>13</v>
      </c>
      <c r="F376" s="60"/>
      <c r="G376" s="60" t="s">
        <v>23</v>
      </c>
      <c r="H376" s="60" t="s">
        <v>38</v>
      </c>
      <c r="I376" s="60" t="s">
        <v>222</v>
      </c>
      <c r="L376" s="12"/>
      <c r="M376" s="12"/>
      <c r="N376" s="12"/>
      <c r="O376" s="12"/>
      <c r="P376" s="12"/>
      <c r="Q376" s="12"/>
    </row>
    <row r="377" spans="1:21" s="8" customFormat="1" ht="15.5" customHeight="1" x14ac:dyDescent="0.2">
      <c r="A377" s="60" t="s">
        <v>75</v>
      </c>
      <c r="B377" s="66">
        <v>8976.1</v>
      </c>
      <c r="C377" s="60" t="s">
        <v>75</v>
      </c>
      <c r="D377" s="60" t="s">
        <v>11</v>
      </c>
      <c r="E377" s="60" t="s">
        <v>13</v>
      </c>
      <c r="F377" s="60"/>
      <c r="G377" s="60" t="s">
        <v>23</v>
      </c>
      <c r="H377" s="60" t="s">
        <v>38</v>
      </c>
      <c r="I377" s="60" t="s">
        <v>222</v>
      </c>
      <c r="L377" s="12"/>
      <c r="M377" s="12"/>
      <c r="N377" s="12"/>
      <c r="O377" s="12"/>
      <c r="P377" s="12"/>
      <c r="Q377" s="12"/>
    </row>
    <row r="378" spans="1:21" s="8" customFormat="1" ht="15.5" customHeight="1" x14ac:dyDescent="0.2">
      <c r="A378" s="60" t="s">
        <v>223</v>
      </c>
      <c r="B378" s="66">
        <v>9</v>
      </c>
      <c r="C378" s="60" t="s">
        <v>223</v>
      </c>
      <c r="D378" s="60" t="s">
        <v>224</v>
      </c>
      <c r="E378" s="60" t="s">
        <v>13</v>
      </c>
      <c r="F378" s="60"/>
      <c r="G378" s="60" t="s">
        <v>23</v>
      </c>
      <c r="H378" s="60" t="s">
        <v>38</v>
      </c>
      <c r="I378" s="60" t="s">
        <v>225</v>
      </c>
      <c r="L378" s="12"/>
      <c r="M378" s="12"/>
      <c r="N378" s="12"/>
      <c r="O378" s="12"/>
      <c r="P378" s="12"/>
      <c r="Q378" s="12"/>
    </row>
    <row r="379" spans="1:21" s="8" customFormat="1" ht="15.5" customHeight="1" x14ac:dyDescent="0.2">
      <c r="A379" s="60" t="s">
        <v>186</v>
      </c>
      <c r="B379" s="66">
        <v>7.5</v>
      </c>
      <c r="C379" s="60" t="s">
        <v>186</v>
      </c>
      <c r="D379" s="60" t="s">
        <v>64</v>
      </c>
      <c r="E379" s="60" t="s">
        <v>13</v>
      </c>
      <c r="F379" s="60"/>
      <c r="G379" s="60" t="s">
        <v>23</v>
      </c>
      <c r="H379" s="60" t="s">
        <v>38</v>
      </c>
      <c r="I379" s="60" t="s">
        <v>225</v>
      </c>
      <c r="L379" s="12"/>
      <c r="M379" s="12"/>
      <c r="N379" s="12"/>
      <c r="O379" s="12"/>
      <c r="P379" s="12"/>
      <c r="Q379" s="12"/>
    </row>
    <row r="380" spans="1:21" s="8" customFormat="1" ht="15.5" customHeight="1" x14ac:dyDescent="0.2">
      <c r="A380" s="60" t="s">
        <v>189</v>
      </c>
      <c r="B380" s="66">
        <v>170.7</v>
      </c>
      <c r="C380" s="60" t="s">
        <v>189</v>
      </c>
      <c r="D380" s="60" t="s">
        <v>190</v>
      </c>
      <c r="E380" s="60" t="s">
        <v>13</v>
      </c>
      <c r="F380" s="60"/>
      <c r="G380" s="60" t="s">
        <v>23</v>
      </c>
      <c r="H380" s="60" t="s">
        <v>38</v>
      </c>
      <c r="I380" s="60" t="s">
        <v>226</v>
      </c>
      <c r="L380" s="12"/>
      <c r="M380" s="12"/>
      <c r="N380" s="12"/>
      <c r="O380" s="12"/>
      <c r="P380" s="12"/>
      <c r="Q380" s="12"/>
    </row>
    <row r="381" spans="1:21" s="8" customFormat="1" ht="15.5" customHeight="1" x14ac:dyDescent="0.2">
      <c r="A381" s="60" t="s">
        <v>227</v>
      </c>
      <c r="B381" s="66">
        <v>14.8</v>
      </c>
      <c r="C381" s="60" t="s">
        <v>227</v>
      </c>
      <c r="D381" s="60" t="s">
        <v>224</v>
      </c>
      <c r="E381" s="60" t="s">
        <v>13</v>
      </c>
      <c r="F381" s="60"/>
      <c r="G381" s="60" t="s">
        <v>23</v>
      </c>
      <c r="H381" s="60" t="s">
        <v>38</v>
      </c>
      <c r="I381" s="60" t="s">
        <v>226</v>
      </c>
      <c r="L381" s="12"/>
      <c r="M381" s="12"/>
      <c r="N381" s="12"/>
      <c r="O381" s="12"/>
      <c r="P381" s="12"/>
      <c r="Q381" s="12"/>
    </row>
    <row r="382" spans="1:21" s="8" customFormat="1" ht="15.5" customHeight="1" x14ac:dyDescent="0.2">
      <c r="A382" s="60" t="s">
        <v>228</v>
      </c>
      <c r="B382" s="66">
        <v>91.5</v>
      </c>
      <c r="C382" s="60" t="s">
        <v>228</v>
      </c>
      <c r="D382" s="60" t="s">
        <v>224</v>
      </c>
      <c r="E382" s="60" t="s">
        <v>13</v>
      </c>
      <c r="F382" s="60"/>
      <c r="G382" s="60" t="s">
        <v>23</v>
      </c>
      <c r="H382" s="60" t="s">
        <v>38</v>
      </c>
      <c r="I382" s="60" t="s">
        <v>225</v>
      </c>
      <c r="L382" s="12"/>
      <c r="M382" s="12"/>
      <c r="N382" s="12"/>
      <c r="O382" s="12"/>
      <c r="P382" s="12"/>
      <c r="Q382" s="12"/>
    </row>
    <row r="383" spans="1:21" s="8" customFormat="1" ht="15.5" customHeight="1" x14ac:dyDescent="0.2">
      <c r="A383" s="60" t="s">
        <v>227</v>
      </c>
      <c r="B383" s="66">
        <v>22.9</v>
      </c>
      <c r="C383" s="60" t="s">
        <v>227</v>
      </c>
      <c r="D383" s="60" t="s">
        <v>224</v>
      </c>
      <c r="E383" s="60" t="s">
        <v>13</v>
      </c>
      <c r="F383" s="60"/>
      <c r="G383" s="60" t="s">
        <v>23</v>
      </c>
      <c r="H383" s="60" t="s">
        <v>38</v>
      </c>
      <c r="I383" s="60" t="s">
        <v>225</v>
      </c>
      <c r="L383" s="12"/>
      <c r="M383" s="12"/>
      <c r="N383" s="12"/>
      <c r="O383" s="12"/>
      <c r="P383" s="12"/>
      <c r="Q383" s="12"/>
    </row>
    <row r="384" spans="1:21" s="8" customFormat="1" ht="15.5" customHeight="1" x14ac:dyDescent="0.2">
      <c r="A384" s="60" t="s">
        <v>229</v>
      </c>
      <c r="B384" s="66">
        <v>21</v>
      </c>
      <c r="C384" s="60" t="s">
        <v>229</v>
      </c>
      <c r="D384" s="60" t="s">
        <v>224</v>
      </c>
      <c r="E384" s="60" t="s">
        <v>13</v>
      </c>
      <c r="F384" s="60"/>
      <c r="G384" s="60" t="s">
        <v>23</v>
      </c>
      <c r="H384" s="60" t="s">
        <v>38</v>
      </c>
      <c r="I384" s="60" t="s">
        <v>230</v>
      </c>
      <c r="L384" s="12"/>
      <c r="M384" s="12"/>
      <c r="N384" s="12"/>
      <c r="O384" s="12"/>
      <c r="P384" s="12"/>
      <c r="Q384" s="12"/>
    </row>
    <row r="385" spans="1:21" s="8" customFormat="1" ht="15.5" customHeight="1" x14ac:dyDescent="0.2">
      <c r="A385" s="60" t="s">
        <v>231</v>
      </c>
      <c r="B385" s="66">
        <v>21</v>
      </c>
      <c r="C385" s="60" t="s">
        <v>231</v>
      </c>
      <c r="D385" s="60" t="s">
        <v>64</v>
      </c>
      <c r="E385" s="60" t="s">
        <v>13</v>
      </c>
      <c r="F385" s="60"/>
      <c r="G385" s="60" t="s">
        <v>23</v>
      </c>
      <c r="H385" s="60" t="s">
        <v>38</v>
      </c>
      <c r="I385" s="60" t="s">
        <v>230</v>
      </c>
      <c r="L385" s="12"/>
      <c r="M385" s="12"/>
      <c r="N385" s="12"/>
      <c r="O385" s="12"/>
      <c r="P385" s="12"/>
      <c r="Q385" s="12"/>
    </row>
    <row r="386" spans="1:21" s="8" customFormat="1" ht="15.5" customHeight="1" x14ac:dyDescent="0.2">
      <c r="A386" s="60" t="s">
        <v>232</v>
      </c>
      <c r="B386" s="66">
        <v>6.4</v>
      </c>
      <c r="C386" s="60" t="s">
        <v>232</v>
      </c>
      <c r="D386" s="60" t="s">
        <v>11</v>
      </c>
      <c r="E386" s="60" t="s">
        <v>13</v>
      </c>
      <c r="F386" s="60"/>
      <c r="G386" s="60" t="s">
        <v>23</v>
      </c>
      <c r="H386" s="60" t="s">
        <v>38</v>
      </c>
      <c r="I386" s="60" t="s">
        <v>233</v>
      </c>
      <c r="L386" s="12"/>
      <c r="M386" s="12"/>
      <c r="N386" s="12"/>
      <c r="O386" s="12"/>
      <c r="P386" s="12"/>
      <c r="Q386" s="12"/>
    </row>
    <row r="387" spans="1:21" s="8" customFormat="1" ht="15.5" customHeight="1" x14ac:dyDescent="0.2">
      <c r="A387" s="60" t="s">
        <v>234</v>
      </c>
      <c r="B387" s="66">
        <v>6.4</v>
      </c>
      <c r="C387" s="60" t="s">
        <v>234</v>
      </c>
      <c r="D387" s="60" t="s">
        <v>64</v>
      </c>
      <c r="E387" s="60" t="s">
        <v>13</v>
      </c>
      <c r="F387" s="60"/>
      <c r="G387" s="60" t="s">
        <v>23</v>
      </c>
      <c r="H387" s="60" t="s">
        <v>38</v>
      </c>
      <c r="I387" s="60" t="s">
        <v>233</v>
      </c>
      <c r="L387" s="12"/>
      <c r="M387" s="12"/>
      <c r="N387" s="12"/>
      <c r="O387" s="12"/>
      <c r="P387" s="12"/>
      <c r="Q387" s="12"/>
    </row>
    <row r="388" spans="1:21" s="8" customFormat="1" ht="15.5" customHeight="1" x14ac:dyDescent="0.2">
      <c r="A388" s="60" t="s">
        <v>235</v>
      </c>
      <c r="B388" s="66">
        <v>6.4</v>
      </c>
      <c r="C388" s="60" t="s">
        <v>235</v>
      </c>
      <c r="D388" s="60" t="s">
        <v>11</v>
      </c>
      <c r="E388" s="60" t="s">
        <v>13</v>
      </c>
      <c r="F388" s="60"/>
      <c r="G388" s="60" t="s">
        <v>23</v>
      </c>
      <c r="H388" s="60" t="s">
        <v>38</v>
      </c>
      <c r="I388" s="60" t="s">
        <v>233</v>
      </c>
      <c r="L388" s="12"/>
      <c r="M388" s="12"/>
      <c r="N388" s="12"/>
      <c r="O388" s="12"/>
      <c r="P388" s="12"/>
      <c r="Q388" s="12"/>
    </row>
    <row r="389" spans="1:21" s="8" customFormat="1" ht="15.5" customHeight="1" x14ac:dyDescent="0.2">
      <c r="A389" s="60" t="s">
        <v>236</v>
      </c>
      <c r="B389" s="66">
        <v>6.4</v>
      </c>
      <c r="C389" s="60" t="s">
        <v>236</v>
      </c>
      <c r="D389" s="60" t="s">
        <v>11</v>
      </c>
      <c r="E389" s="60" t="s">
        <v>13</v>
      </c>
      <c r="F389" s="60"/>
      <c r="G389" s="60" t="s">
        <v>23</v>
      </c>
      <c r="H389" s="60" t="s">
        <v>38</v>
      </c>
      <c r="I389" s="60" t="s">
        <v>233</v>
      </c>
      <c r="L389" s="12"/>
      <c r="M389" s="12"/>
      <c r="N389" s="12"/>
      <c r="O389" s="12"/>
      <c r="P389" s="12"/>
      <c r="Q389" s="12"/>
    </row>
    <row r="390" spans="1:21" s="8" customFormat="1" ht="15.5" customHeight="1" x14ac:dyDescent="0.2">
      <c r="A390" s="60" t="s">
        <v>186</v>
      </c>
      <c r="B390" s="66">
        <v>136.6</v>
      </c>
      <c r="C390" s="60" t="s">
        <v>186</v>
      </c>
      <c r="D390" s="60" t="s">
        <v>64</v>
      </c>
      <c r="E390" s="60" t="s">
        <v>13</v>
      </c>
      <c r="F390" s="60"/>
      <c r="G390" s="60" t="s">
        <v>23</v>
      </c>
      <c r="H390" s="60" t="s">
        <v>38</v>
      </c>
      <c r="I390" s="60" t="s">
        <v>237</v>
      </c>
      <c r="L390" s="12"/>
      <c r="M390" s="12"/>
      <c r="N390" s="12"/>
      <c r="O390" s="12"/>
      <c r="P390" s="12"/>
      <c r="Q390" s="12"/>
    </row>
    <row r="391" spans="1:21" s="8" customFormat="1" ht="15.5" customHeight="1" x14ac:dyDescent="0.2">
      <c r="A391" s="60" t="s">
        <v>36</v>
      </c>
      <c r="B391" s="66">
        <v>122224.433</v>
      </c>
      <c r="C391" s="60" t="s">
        <v>36</v>
      </c>
      <c r="D391" s="60" t="s">
        <v>64</v>
      </c>
      <c r="E391" s="60" t="s">
        <v>37</v>
      </c>
      <c r="F391" s="60"/>
      <c r="G391" s="60" t="s">
        <v>23</v>
      </c>
      <c r="H391" s="60" t="s">
        <v>38</v>
      </c>
      <c r="I391" s="60" t="s">
        <v>78</v>
      </c>
      <c r="L391" s="12"/>
      <c r="M391" s="12"/>
      <c r="N391" s="12"/>
      <c r="O391" s="12"/>
      <c r="P391" s="12"/>
      <c r="Q391" s="12"/>
    </row>
    <row r="392" spans="1:21" s="8" customFormat="1" ht="15" customHeight="1" x14ac:dyDescent="0.2">
      <c r="B392" s="9"/>
      <c r="C392" s="7"/>
      <c r="G392" s="7"/>
      <c r="H392" s="7"/>
      <c r="L392" s="9"/>
      <c r="M392" s="9"/>
      <c r="N392" s="9"/>
      <c r="O392" s="9"/>
      <c r="P392" s="9"/>
      <c r="Q392" s="9"/>
    </row>
    <row r="393" spans="1:21" s="8" customFormat="1" ht="15.5" customHeight="1" x14ac:dyDescent="0.2">
      <c r="A393" s="59" t="s">
        <v>3</v>
      </c>
      <c r="B393" s="82" t="s">
        <v>209</v>
      </c>
      <c r="C393" s="60"/>
      <c r="D393" s="60"/>
      <c r="E393" s="60"/>
      <c r="F393" s="60"/>
      <c r="G393" s="60"/>
      <c r="H393" s="60"/>
      <c r="I393" s="60"/>
      <c r="L393" s="9"/>
      <c r="M393" s="9"/>
      <c r="N393" s="9"/>
      <c r="O393" s="9"/>
      <c r="P393" s="9"/>
      <c r="Q393" s="9"/>
    </row>
    <row r="394" spans="1:21" s="8" customFormat="1" ht="15" customHeight="1" x14ac:dyDescent="0.2">
      <c r="A394" s="62" t="s">
        <v>5</v>
      </c>
      <c r="B394" s="83">
        <v>1</v>
      </c>
      <c r="C394" s="60"/>
      <c r="D394" s="60"/>
      <c r="E394" s="60"/>
      <c r="F394" s="60"/>
      <c r="G394" s="60"/>
      <c r="H394" s="60"/>
      <c r="I394" s="60"/>
      <c r="L394" s="9"/>
      <c r="M394" s="9"/>
      <c r="N394" s="9"/>
      <c r="O394" s="9"/>
      <c r="P394" s="9"/>
      <c r="Q394" s="9"/>
    </row>
    <row r="395" spans="1:21" s="8" customFormat="1" ht="15" customHeight="1" x14ac:dyDescent="0.2">
      <c r="A395" s="62" t="s">
        <v>6</v>
      </c>
      <c r="B395" s="83" t="s">
        <v>55</v>
      </c>
      <c r="C395" s="60"/>
      <c r="D395" s="60"/>
      <c r="E395" s="60"/>
      <c r="F395" s="60"/>
      <c r="G395" s="60"/>
      <c r="H395" s="60"/>
      <c r="I395" s="60"/>
      <c r="L395" s="9"/>
      <c r="M395" s="9"/>
      <c r="N395" s="9"/>
      <c r="O395" s="9"/>
      <c r="P395" s="9"/>
      <c r="Q395" s="9"/>
    </row>
    <row r="396" spans="1:21" s="8" customFormat="1" ht="15" customHeight="1" x14ac:dyDescent="0.2">
      <c r="A396" s="62" t="s">
        <v>8</v>
      </c>
      <c r="B396" s="66" t="s">
        <v>210</v>
      </c>
      <c r="C396" s="60"/>
      <c r="D396" s="60"/>
      <c r="E396" s="60"/>
      <c r="F396" s="60"/>
      <c r="G396" s="60"/>
      <c r="H396" s="60"/>
      <c r="I396" s="60"/>
      <c r="L396" s="9"/>
      <c r="M396" s="9"/>
      <c r="N396" s="9"/>
      <c r="O396" s="9"/>
      <c r="P396" s="9"/>
      <c r="Q396" s="9"/>
    </row>
    <row r="397" spans="1:21" s="8" customFormat="1" ht="15" customHeight="1" x14ac:dyDescent="0.2">
      <c r="A397" s="62" t="s">
        <v>10</v>
      </c>
      <c r="B397" s="83" t="s">
        <v>11</v>
      </c>
      <c r="C397" s="60"/>
      <c r="D397" s="60"/>
      <c r="E397" s="60"/>
      <c r="F397" s="60"/>
      <c r="G397" s="60"/>
      <c r="H397" s="60"/>
      <c r="I397" s="60"/>
      <c r="L397" s="9"/>
      <c r="M397" s="9"/>
      <c r="N397" s="9"/>
      <c r="O397" s="9"/>
      <c r="P397" s="9"/>
      <c r="Q397" s="9"/>
    </row>
    <row r="398" spans="1:21" s="8" customFormat="1" ht="15" customHeight="1" x14ac:dyDescent="0.2">
      <c r="A398" s="62" t="s">
        <v>12</v>
      </c>
      <c r="B398" s="66" t="s">
        <v>12</v>
      </c>
      <c r="C398" s="60"/>
      <c r="D398" s="60"/>
      <c r="E398" s="60"/>
      <c r="F398" s="60"/>
      <c r="G398" s="60"/>
      <c r="H398" s="60"/>
      <c r="I398" s="60"/>
      <c r="L398" s="9"/>
      <c r="M398" s="9"/>
      <c r="N398" s="9"/>
      <c r="O398" s="9"/>
      <c r="P398" s="9"/>
      <c r="Q398" s="9"/>
    </row>
    <row r="399" spans="1:21" s="8" customFormat="1" ht="15.5" customHeight="1" x14ac:dyDescent="0.2">
      <c r="A399" s="64" t="s">
        <v>14</v>
      </c>
      <c r="B399" s="82"/>
      <c r="C399" s="64"/>
      <c r="D399" s="64"/>
      <c r="E399" s="64"/>
      <c r="F399" s="64"/>
      <c r="G399" s="64"/>
      <c r="H399" s="64"/>
      <c r="I399" s="64"/>
      <c r="J399" s="10"/>
      <c r="K399" s="10"/>
      <c r="L399" s="9"/>
      <c r="M399" s="9"/>
      <c r="N399" s="9"/>
      <c r="O399" s="9"/>
      <c r="P399" s="9"/>
      <c r="Q399" s="9"/>
    </row>
    <row r="400" spans="1:21" s="8" customFormat="1" ht="15.5" customHeight="1" x14ac:dyDescent="0.2">
      <c r="A400" s="64" t="s">
        <v>15</v>
      </c>
      <c r="B400" s="82" t="s">
        <v>16</v>
      </c>
      <c r="C400" s="64" t="s">
        <v>8</v>
      </c>
      <c r="D400" s="64" t="s">
        <v>10</v>
      </c>
      <c r="E400" s="64" t="s">
        <v>12</v>
      </c>
      <c r="F400" s="65" t="s">
        <v>17</v>
      </c>
      <c r="G400" s="64" t="s">
        <v>18</v>
      </c>
      <c r="H400" s="63" t="s">
        <v>19</v>
      </c>
      <c r="I400" s="65" t="s">
        <v>6</v>
      </c>
      <c r="J400" s="10"/>
      <c r="K400" s="6"/>
      <c r="L400" s="11"/>
      <c r="M400" s="11"/>
      <c r="N400" s="11"/>
      <c r="O400" s="11"/>
      <c r="P400" s="11"/>
      <c r="Q400" s="11"/>
      <c r="R400" s="6"/>
      <c r="S400" s="6"/>
      <c r="T400" s="10"/>
      <c r="U400" s="6"/>
    </row>
    <row r="401" spans="1:21" s="8" customFormat="1" ht="15" customHeight="1" x14ac:dyDescent="0.2">
      <c r="A401" s="63" t="s">
        <v>209</v>
      </c>
      <c r="B401" s="66">
        <v>-1</v>
      </c>
      <c r="C401" s="60" t="s">
        <v>210</v>
      </c>
      <c r="D401" s="60" t="s">
        <v>11</v>
      </c>
      <c r="E401" s="60" t="s">
        <v>12</v>
      </c>
      <c r="F401" s="60"/>
      <c r="G401" s="60" t="s">
        <v>20</v>
      </c>
      <c r="H401" s="63" t="s">
        <v>2</v>
      </c>
      <c r="I401" s="60"/>
      <c r="L401" s="9"/>
      <c r="M401" s="9"/>
      <c r="N401" s="9"/>
      <c r="O401" s="9"/>
      <c r="P401" s="9"/>
      <c r="Q401" s="9"/>
    </row>
    <row r="402" spans="1:21" s="8" customFormat="1" ht="15.5" customHeight="1" x14ac:dyDescent="0.2">
      <c r="A402" s="63" t="s">
        <v>81</v>
      </c>
      <c r="B402" s="66">
        <v>-26928</v>
      </c>
      <c r="C402" s="60" t="s">
        <v>81</v>
      </c>
      <c r="D402" s="60" t="s">
        <v>11</v>
      </c>
      <c r="E402" s="60" t="s">
        <v>13</v>
      </c>
      <c r="F402" s="60"/>
      <c r="G402" s="60" t="s">
        <v>23</v>
      </c>
      <c r="H402" s="60" t="s">
        <v>38</v>
      </c>
      <c r="I402" s="60"/>
      <c r="L402" s="12"/>
      <c r="M402" s="12"/>
      <c r="N402" s="12"/>
      <c r="O402" s="12"/>
      <c r="P402" s="12"/>
      <c r="Q402" s="12"/>
    </row>
    <row r="403" spans="1:21" s="8" customFormat="1" ht="15" customHeight="1" x14ac:dyDescent="0.2">
      <c r="B403" s="9"/>
      <c r="L403" s="9"/>
      <c r="M403" s="9"/>
      <c r="N403" s="9"/>
      <c r="O403" s="9"/>
      <c r="P403" s="9"/>
      <c r="Q403" s="9"/>
    </row>
    <row r="404" spans="1:21" s="8" customFormat="1" ht="15.5" customHeight="1" x14ac:dyDescent="0.2">
      <c r="A404" s="59" t="s">
        <v>3</v>
      </c>
      <c r="B404" s="82" t="s">
        <v>207</v>
      </c>
      <c r="C404" s="60"/>
      <c r="D404" s="60"/>
      <c r="E404" s="60"/>
      <c r="F404" s="60"/>
      <c r="G404" s="60"/>
      <c r="H404" s="60"/>
      <c r="I404" s="60"/>
      <c r="L404" s="13"/>
      <c r="M404" s="14"/>
      <c r="N404" s="9"/>
      <c r="O404" s="9"/>
      <c r="P404" s="9"/>
      <c r="Q404" s="9"/>
    </row>
    <row r="405" spans="1:21" s="8" customFormat="1" ht="15" customHeight="1" x14ac:dyDescent="0.2">
      <c r="A405" s="62" t="s">
        <v>5</v>
      </c>
      <c r="B405" s="83">
        <v>1</v>
      </c>
      <c r="C405" s="60"/>
      <c r="D405" s="60"/>
      <c r="E405" s="60"/>
      <c r="F405" s="60"/>
      <c r="G405" s="60"/>
      <c r="H405" s="60"/>
      <c r="I405" s="60"/>
      <c r="L405" s="15"/>
      <c r="M405" s="14"/>
      <c r="N405" s="9"/>
      <c r="O405" s="9"/>
      <c r="P405" s="9"/>
      <c r="Q405" s="9"/>
    </row>
    <row r="406" spans="1:21" s="8" customFormat="1" ht="15" customHeight="1" x14ac:dyDescent="0.2">
      <c r="A406" s="62" t="s">
        <v>6</v>
      </c>
      <c r="B406" s="83" t="s">
        <v>238</v>
      </c>
      <c r="C406" s="60"/>
      <c r="D406" s="60"/>
      <c r="E406" s="60"/>
      <c r="F406" s="60"/>
      <c r="G406" s="60"/>
      <c r="H406" s="60"/>
      <c r="I406" s="60"/>
      <c r="L406" s="9"/>
      <c r="M406" s="14"/>
      <c r="N406" s="9"/>
      <c r="O406" s="9"/>
      <c r="P406" s="9"/>
      <c r="Q406" s="9"/>
    </row>
    <row r="407" spans="1:21" s="8" customFormat="1" ht="15" customHeight="1" x14ac:dyDescent="0.2">
      <c r="A407" s="62" t="s">
        <v>8</v>
      </c>
      <c r="B407" s="66" t="s">
        <v>208</v>
      </c>
      <c r="C407" s="60"/>
      <c r="D407" s="60"/>
      <c r="E407" s="60"/>
      <c r="F407" s="60"/>
      <c r="G407" s="60"/>
      <c r="H407" s="60"/>
      <c r="I407" s="60"/>
      <c r="L407" s="9"/>
      <c r="M407" s="9"/>
      <c r="N407" s="9"/>
      <c r="O407" s="9"/>
      <c r="P407" s="9"/>
      <c r="Q407" s="9"/>
    </row>
    <row r="408" spans="1:21" s="8" customFormat="1" ht="16.25" customHeight="1" x14ac:dyDescent="0.2">
      <c r="A408" s="62" t="s">
        <v>10</v>
      </c>
      <c r="B408" s="83" t="s">
        <v>11</v>
      </c>
      <c r="C408" s="60"/>
      <c r="D408" s="60"/>
      <c r="E408" s="60"/>
      <c r="F408" s="60"/>
      <c r="G408" s="60"/>
      <c r="H408" s="60"/>
      <c r="I408" s="60"/>
      <c r="L408" s="9"/>
      <c r="M408" s="9"/>
      <c r="N408" s="9"/>
      <c r="O408" s="9"/>
      <c r="P408" s="9"/>
      <c r="Q408" s="9"/>
    </row>
    <row r="409" spans="1:21" s="8" customFormat="1" ht="15.5" customHeight="1" x14ac:dyDescent="0.2">
      <c r="A409" s="62" t="s">
        <v>12</v>
      </c>
      <c r="B409" s="66" t="s">
        <v>12</v>
      </c>
      <c r="C409" s="60"/>
      <c r="D409" s="60"/>
      <c r="E409" s="60"/>
      <c r="F409" s="60"/>
      <c r="G409" s="60"/>
      <c r="H409" s="60"/>
      <c r="I409" s="64"/>
      <c r="J409" s="10"/>
      <c r="L409" s="9"/>
      <c r="M409" s="9"/>
      <c r="N409" s="9"/>
      <c r="O409" s="9"/>
      <c r="P409" s="9"/>
      <c r="Q409" s="9"/>
    </row>
    <row r="410" spans="1:21" s="8" customFormat="1" ht="15.5" customHeight="1" x14ac:dyDescent="0.2">
      <c r="A410" s="64" t="s">
        <v>14</v>
      </c>
      <c r="B410" s="82"/>
      <c r="C410" s="64"/>
      <c r="D410" s="64"/>
      <c r="E410" s="64"/>
      <c r="F410" s="64"/>
      <c r="G410" s="64"/>
      <c r="H410" s="64"/>
      <c r="I410" s="61"/>
      <c r="J410" s="7"/>
      <c r="L410" s="9"/>
      <c r="M410" s="9"/>
      <c r="N410" s="9"/>
      <c r="O410" s="9"/>
      <c r="P410" s="9"/>
      <c r="Q410" s="9"/>
    </row>
    <row r="411" spans="1:21" s="8" customFormat="1" ht="15.5" customHeight="1" x14ac:dyDescent="0.2">
      <c r="A411" s="64" t="s">
        <v>15</v>
      </c>
      <c r="B411" s="82" t="s">
        <v>16</v>
      </c>
      <c r="C411" s="64" t="s">
        <v>8</v>
      </c>
      <c r="D411" s="64" t="s">
        <v>10</v>
      </c>
      <c r="E411" s="64" t="s">
        <v>12</v>
      </c>
      <c r="F411" s="65" t="s">
        <v>17</v>
      </c>
      <c r="G411" s="64" t="s">
        <v>18</v>
      </c>
      <c r="H411" s="63" t="s">
        <v>19</v>
      </c>
      <c r="I411" s="65" t="s">
        <v>6</v>
      </c>
      <c r="J411" s="10"/>
      <c r="K411" s="6"/>
      <c r="L411" s="11"/>
      <c r="M411" s="11"/>
      <c r="N411" s="11"/>
      <c r="O411" s="11"/>
      <c r="P411" s="11"/>
      <c r="Q411" s="11"/>
      <c r="R411" s="6"/>
      <c r="S411" s="6"/>
      <c r="T411" s="10"/>
      <c r="U411" s="6"/>
    </row>
    <row r="412" spans="1:21" s="8" customFormat="1" ht="15" customHeight="1" x14ac:dyDescent="0.2">
      <c r="A412" s="63" t="s">
        <v>207</v>
      </c>
      <c r="B412" s="66">
        <v>1</v>
      </c>
      <c r="C412" s="63" t="s">
        <v>208</v>
      </c>
      <c r="D412" s="60" t="s">
        <v>11</v>
      </c>
      <c r="E412" s="60" t="s">
        <v>12</v>
      </c>
      <c r="F412" s="60"/>
      <c r="G412" s="60" t="s">
        <v>20</v>
      </c>
      <c r="H412" s="63" t="s">
        <v>2</v>
      </c>
      <c r="I412" s="61"/>
      <c r="J412" s="7"/>
      <c r="K412" s="7"/>
      <c r="L412" s="9"/>
      <c r="M412" s="9"/>
      <c r="N412" s="9"/>
      <c r="O412" s="9"/>
      <c r="P412" s="9"/>
      <c r="Q412" s="9"/>
    </row>
    <row r="413" spans="1:21" s="8" customFormat="1" ht="15.5" customHeight="1" x14ac:dyDescent="0.2">
      <c r="A413" s="60" t="s">
        <v>73</v>
      </c>
      <c r="B413" s="66">
        <v>5858.2</v>
      </c>
      <c r="C413" s="60" t="s">
        <v>73</v>
      </c>
      <c r="D413" s="60" t="s">
        <v>11</v>
      </c>
      <c r="E413" s="60" t="s">
        <v>13</v>
      </c>
      <c r="F413" s="60"/>
      <c r="G413" s="60" t="s">
        <v>23</v>
      </c>
      <c r="H413" s="60" t="s">
        <v>38</v>
      </c>
      <c r="I413" s="61" t="s">
        <v>239</v>
      </c>
      <c r="L413" s="12"/>
      <c r="M413" s="12"/>
      <c r="N413" s="12"/>
      <c r="O413" s="12"/>
      <c r="P413" s="12"/>
      <c r="Q413" s="12"/>
    </row>
    <row r="414" spans="1:21" s="8" customFormat="1" ht="15.5" customHeight="1" x14ac:dyDescent="0.2">
      <c r="A414" s="60" t="s">
        <v>75</v>
      </c>
      <c r="B414" s="66">
        <v>5858.2</v>
      </c>
      <c r="C414" s="60" t="s">
        <v>75</v>
      </c>
      <c r="D414" s="60" t="s">
        <v>11</v>
      </c>
      <c r="E414" s="60" t="s">
        <v>13</v>
      </c>
      <c r="F414" s="60"/>
      <c r="G414" s="60" t="s">
        <v>23</v>
      </c>
      <c r="H414" s="60" t="s">
        <v>38</v>
      </c>
      <c r="I414" s="61" t="s">
        <v>239</v>
      </c>
      <c r="L414" s="12"/>
      <c r="M414" s="12"/>
      <c r="N414" s="12"/>
      <c r="O414" s="12"/>
      <c r="P414" s="12"/>
      <c r="Q414" s="12"/>
    </row>
    <row r="415" spans="1:21" s="8" customFormat="1" ht="15.5" customHeight="1" x14ac:dyDescent="0.2">
      <c r="A415" s="63" t="s">
        <v>56</v>
      </c>
      <c r="B415" s="66">
        <v>300</v>
      </c>
      <c r="C415" s="63" t="s">
        <v>56</v>
      </c>
      <c r="D415" s="60" t="s">
        <v>11</v>
      </c>
      <c r="E415" s="60" t="s">
        <v>13</v>
      </c>
      <c r="F415" s="60"/>
      <c r="G415" s="60" t="s">
        <v>23</v>
      </c>
      <c r="H415" s="60" t="s">
        <v>38</v>
      </c>
      <c r="I415" s="61" t="s">
        <v>240</v>
      </c>
      <c r="L415" s="12"/>
      <c r="M415" s="12"/>
      <c r="N415" s="12"/>
      <c r="O415" s="12"/>
      <c r="P415" s="12"/>
      <c r="Q415" s="12"/>
    </row>
    <row r="416" spans="1:21" s="8" customFormat="1" ht="15.5" customHeight="1" x14ac:dyDescent="0.2">
      <c r="A416" s="63" t="s">
        <v>70</v>
      </c>
      <c r="B416" s="66">
        <v>225</v>
      </c>
      <c r="C416" s="63" t="s">
        <v>70</v>
      </c>
      <c r="D416" s="60" t="s">
        <v>64</v>
      </c>
      <c r="E416" s="60" t="s">
        <v>13</v>
      </c>
      <c r="F416" s="60"/>
      <c r="G416" s="60" t="s">
        <v>23</v>
      </c>
      <c r="H416" s="60" t="s">
        <v>38</v>
      </c>
      <c r="I416" s="61" t="s">
        <v>240</v>
      </c>
      <c r="L416" s="12"/>
      <c r="M416" s="12"/>
      <c r="N416" s="12"/>
      <c r="O416" s="12"/>
      <c r="P416" s="12"/>
      <c r="Q416" s="12"/>
    </row>
    <row r="417" spans="1:17" s="8" customFormat="1" ht="15.5" customHeight="1" x14ac:dyDescent="0.2">
      <c r="A417" s="63" t="s">
        <v>91</v>
      </c>
      <c r="B417" s="66">
        <v>900</v>
      </c>
      <c r="C417" s="63" t="s">
        <v>91</v>
      </c>
      <c r="D417" s="60" t="s">
        <v>11</v>
      </c>
      <c r="E417" s="60" t="s">
        <v>13</v>
      </c>
      <c r="F417" s="60"/>
      <c r="G417" s="60" t="s">
        <v>23</v>
      </c>
      <c r="H417" s="60" t="s">
        <v>38</v>
      </c>
      <c r="I417" s="61" t="s">
        <v>240</v>
      </c>
      <c r="L417" s="12"/>
      <c r="M417" s="12"/>
      <c r="N417" s="12"/>
      <c r="O417" s="12"/>
      <c r="P417" s="12"/>
      <c r="Q417" s="12"/>
    </row>
    <row r="418" spans="1:17" s="8" customFormat="1" ht="15.5" customHeight="1" x14ac:dyDescent="0.2">
      <c r="A418" s="63" t="s">
        <v>93</v>
      </c>
      <c r="B418" s="66">
        <v>75</v>
      </c>
      <c r="C418" s="63" t="s">
        <v>93</v>
      </c>
      <c r="D418" s="60" t="s">
        <v>94</v>
      </c>
      <c r="E418" s="60" t="s">
        <v>13</v>
      </c>
      <c r="F418" s="60"/>
      <c r="G418" s="60" t="s">
        <v>23</v>
      </c>
      <c r="H418" s="60" t="s">
        <v>38</v>
      </c>
      <c r="I418" s="61" t="s">
        <v>240</v>
      </c>
      <c r="L418" s="12"/>
      <c r="M418" s="12"/>
      <c r="N418" s="12"/>
      <c r="O418" s="12"/>
      <c r="P418" s="12"/>
      <c r="Q418" s="12"/>
    </row>
    <row r="419" spans="1:17" s="8" customFormat="1" ht="15.5" customHeight="1" x14ac:dyDescent="0.2">
      <c r="A419" s="63" t="s">
        <v>95</v>
      </c>
      <c r="B419" s="66">
        <v>225</v>
      </c>
      <c r="C419" s="63" t="s">
        <v>95</v>
      </c>
      <c r="D419" s="60" t="s">
        <v>11</v>
      </c>
      <c r="E419" s="60" t="s">
        <v>13</v>
      </c>
      <c r="F419" s="60"/>
      <c r="G419" s="60" t="s">
        <v>23</v>
      </c>
      <c r="H419" s="60" t="s">
        <v>38</v>
      </c>
      <c r="I419" s="61" t="s">
        <v>240</v>
      </c>
      <c r="L419" s="12"/>
      <c r="M419" s="12"/>
      <c r="N419" s="12"/>
      <c r="O419" s="12"/>
      <c r="P419" s="12"/>
      <c r="Q419" s="12"/>
    </row>
    <row r="420" spans="1:17" s="8" customFormat="1" ht="15.5" customHeight="1" x14ac:dyDescent="0.2">
      <c r="A420" s="63" t="s">
        <v>115</v>
      </c>
      <c r="B420" s="66">
        <v>3000</v>
      </c>
      <c r="C420" s="63" t="s">
        <v>115</v>
      </c>
      <c r="D420" s="60" t="s">
        <v>11</v>
      </c>
      <c r="E420" s="60" t="s">
        <v>13</v>
      </c>
      <c r="F420" s="60"/>
      <c r="G420" s="60" t="s">
        <v>23</v>
      </c>
      <c r="H420" s="60" t="s">
        <v>38</v>
      </c>
      <c r="I420" s="61" t="s">
        <v>241</v>
      </c>
      <c r="L420" s="12"/>
      <c r="M420" s="12"/>
      <c r="N420" s="12"/>
      <c r="O420" s="12"/>
      <c r="P420" s="12"/>
      <c r="Q420" s="12"/>
    </row>
    <row r="421" spans="1:17" s="8" customFormat="1" ht="15.5" customHeight="1" x14ac:dyDescent="0.2">
      <c r="A421" s="63" t="s">
        <v>117</v>
      </c>
      <c r="B421" s="66">
        <v>35</v>
      </c>
      <c r="C421" s="63" t="s">
        <v>117</v>
      </c>
      <c r="D421" s="60" t="s">
        <v>11</v>
      </c>
      <c r="E421" s="60" t="s">
        <v>13</v>
      </c>
      <c r="F421" s="60"/>
      <c r="G421" s="60" t="s">
        <v>23</v>
      </c>
      <c r="H421" s="60" t="s">
        <v>38</v>
      </c>
      <c r="I421" s="61" t="s">
        <v>241</v>
      </c>
      <c r="L421" s="12"/>
      <c r="M421" s="12"/>
      <c r="N421" s="12"/>
      <c r="O421" s="12"/>
      <c r="P421" s="12"/>
      <c r="Q421" s="12"/>
    </row>
    <row r="422" spans="1:17" s="8" customFormat="1" ht="15.5" customHeight="1" x14ac:dyDescent="0.2">
      <c r="A422" s="63" t="s">
        <v>91</v>
      </c>
      <c r="B422" s="66">
        <v>6500</v>
      </c>
      <c r="C422" s="63" t="s">
        <v>91</v>
      </c>
      <c r="D422" s="60" t="s">
        <v>11</v>
      </c>
      <c r="E422" s="60" t="s">
        <v>13</v>
      </c>
      <c r="F422" s="60"/>
      <c r="G422" s="60" t="s">
        <v>23</v>
      </c>
      <c r="H422" s="60" t="s">
        <v>38</v>
      </c>
      <c r="I422" s="61" t="s">
        <v>241</v>
      </c>
      <c r="L422" s="12"/>
      <c r="M422" s="12"/>
      <c r="N422" s="12"/>
      <c r="O422" s="12"/>
      <c r="P422" s="12"/>
      <c r="Q422" s="12"/>
    </row>
    <row r="423" spans="1:17" s="8" customFormat="1" ht="15.5" customHeight="1" x14ac:dyDescent="0.2">
      <c r="A423" s="63" t="s">
        <v>73</v>
      </c>
      <c r="B423" s="66">
        <v>2025</v>
      </c>
      <c r="C423" s="63" t="s">
        <v>73</v>
      </c>
      <c r="D423" s="60" t="s">
        <v>11</v>
      </c>
      <c r="E423" s="60" t="s">
        <v>13</v>
      </c>
      <c r="F423" s="60"/>
      <c r="G423" s="60" t="s">
        <v>23</v>
      </c>
      <c r="H423" s="60" t="s">
        <v>38</v>
      </c>
      <c r="I423" s="61" t="s">
        <v>241</v>
      </c>
      <c r="L423" s="12"/>
      <c r="M423" s="12"/>
      <c r="N423" s="12"/>
      <c r="O423" s="12"/>
      <c r="P423" s="12"/>
      <c r="Q423" s="12"/>
    </row>
    <row r="424" spans="1:17" s="8" customFormat="1" ht="15.5" customHeight="1" x14ac:dyDescent="0.2">
      <c r="A424" s="63" t="s">
        <v>92</v>
      </c>
      <c r="B424" s="66">
        <v>2000</v>
      </c>
      <c r="C424" s="63" t="s">
        <v>92</v>
      </c>
      <c r="D424" s="60" t="s">
        <v>11</v>
      </c>
      <c r="E424" s="60" t="s">
        <v>13</v>
      </c>
      <c r="F424" s="60"/>
      <c r="G424" s="60" t="s">
        <v>23</v>
      </c>
      <c r="H424" s="60" t="s">
        <v>38</v>
      </c>
      <c r="I424" s="61" t="s">
        <v>241</v>
      </c>
      <c r="L424" s="12"/>
      <c r="M424" s="12"/>
      <c r="N424" s="12"/>
      <c r="O424" s="12"/>
      <c r="P424" s="12"/>
      <c r="Q424" s="12"/>
    </row>
    <row r="425" spans="1:17" s="8" customFormat="1" ht="15.5" customHeight="1" x14ac:dyDescent="0.2">
      <c r="A425" s="63" t="s">
        <v>75</v>
      </c>
      <c r="B425" s="66">
        <v>2025</v>
      </c>
      <c r="C425" s="63" t="s">
        <v>75</v>
      </c>
      <c r="D425" s="60" t="s">
        <v>11</v>
      </c>
      <c r="E425" s="60" t="s">
        <v>13</v>
      </c>
      <c r="F425" s="60"/>
      <c r="G425" s="60" t="s">
        <v>23</v>
      </c>
      <c r="H425" s="60" t="s">
        <v>38</v>
      </c>
      <c r="I425" s="61" t="s">
        <v>241</v>
      </c>
      <c r="L425" s="12"/>
      <c r="M425" s="12"/>
      <c r="N425" s="12"/>
      <c r="O425" s="12"/>
      <c r="P425" s="12"/>
      <c r="Q425" s="12"/>
    </row>
    <row r="426" spans="1:17" s="8" customFormat="1" ht="15.5" customHeight="1" x14ac:dyDescent="0.2">
      <c r="A426" s="63" t="s">
        <v>91</v>
      </c>
      <c r="B426" s="66">
        <v>5000</v>
      </c>
      <c r="C426" s="63" t="s">
        <v>91</v>
      </c>
      <c r="D426" s="60" t="s">
        <v>11</v>
      </c>
      <c r="E426" s="60" t="s">
        <v>13</v>
      </c>
      <c r="F426" s="60"/>
      <c r="G426" s="60" t="s">
        <v>23</v>
      </c>
      <c r="H426" s="60" t="s">
        <v>38</v>
      </c>
      <c r="I426" s="61" t="s">
        <v>242</v>
      </c>
      <c r="L426" s="12"/>
      <c r="M426" s="12"/>
      <c r="N426" s="12"/>
      <c r="O426" s="12"/>
      <c r="P426" s="12"/>
      <c r="Q426" s="12"/>
    </row>
    <row r="427" spans="1:17" s="8" customFormat="1" ht="15.5" customHeight="1" x14ac:dyDescent="0.2">
      <c r="A427" s="63" t="s">
        <v>73</v>
      </c>
      <c r="B427" s="66">
        <v>7500</v>
      </c>
      <c r="C427" s="63" t="s">
        <v>73</v>
      </c>
      <c r="D427" s="60" t="s">
        <v>11</v>
      </c>
      <c r="E427" s="60" t="s">
        <v>13</v>
      </c>
      <c r="F427" s="60"/>
      <c r="G427" s="60" t="s">
        <v>23</v>
      </c>
      <c r="H427" s="60" t="s">
        <v>38</v>
      </c>
      <c r="I427" s="61" t="s">
        <v>242</v>
      </c>
      <c r="L427" s="12"/>
      <c r="M427" s="12"/>
      <c r="N427" s="12"/>
      <c r="O427" s="12"/>
      <c r="P427" s="12"/>
      <c r="Q427" s="12"/>
    </row>
    <row r="428" spans="1:17" s="8" customFormat="1" ht="15.5" customHeight="1" x14ac:dyDescent="0.2">
      <c r="A428" s="63" t="s">
        <v>92</v>
      </c>
      <c r="B428" s="66">
        <v>5000</v>
      </c>
      <c r="C428" s="63" t="s">
        <v>92</v>
      </c>
      <c r="D428" s="60" t="s">
        <v>11</v>
      </c>
      <c r="E428" s="60" t="s">
        <v>13</v>
      </c>
      <c r="F428" s="60"/>
      <c r="G428" s="60" t="s">
        <v>23</v>
      </c>
      <c r="H428" s="60" t="s">
        <v>38</v>
      </c>
      <c r="I428" s="61" t="s">
        <v>242</v>
      </c>
      <c r="L428" s="12"/>
      <c r="M428" s="12"/>
      <c r="N428" s="12"/>
      <c r="O428" s="12"/>
      <c r="P428" s="12"/>
      <c r="Q428" s="12"/>
    </row>
    <row r="429" spans="1:17" s="8" customFormat="1" ht="15.5" customHeight="1" x14ac:dyDescent="0.2">
      <c r="A429" s="63" t="s">
        <v>75</v>
      </c>
      <c r="B429" s="66">
        <v>7500</v>
      </c>
      <c r="C429" s="63" t="s">
        <v>75</v>
      </c>
      <c r="D429" s="60" t="s">
        <v>11</v>
      </c>
      <c r="E429" s="60" t="s">
        <v>13</v>
      </c>
      <c r="F429" s="60"/>
      <c r="G429" s="60" t="s">
        <v>23</v>
      </c>
      <c r="H429" s="60" t="s">
        <v>38</v>
      </c>
      <c r="I429" s="61" t="s">
        <v>242</v>
      </c>
      <c r="L429" s="12"/>
      <c r="M429" s="12"/>
      <c r="N429" s="12"/>
      <c r="O429" s="12"/>
      <c r="P429" s="12"/>
      <c r="Q429" s="12"/>
    </row>
    <row r="430" spans="1:17" s="8" customFormat="1" ht="15.5" customHeight="1" x14ac:dyDescent="0.2">
      <c r="A430" s="63" t="s">
        <v>56</v>
      </c>
      <c r="B430" s="66">
        <v>100</v>
      </c>
      <c r="C430" s="63" t="s">
        <v>56</v>
      </c>
      <c r="D430" s="60" t="s">
        <v>11</v>
      </c>
      <c r="E430" s="60" t="s">
        <v>13</v>
      </c>
      <c r="F430" s="60"/>
      <c r="G430" s="60" t="s">
        <v>23</v>
      </c>
      <c r="H430" s="60" t="s">
        <v>38</v>
      </c>
      <c r="I430" s="61" t="s">
        <v>243</v>
      </c>
      <c r="L430" s="12"/>
      <c r="M430" s="12"/>
      <c r="N430" s="12"/>
      <c r="O430" s="12"/>
      <c r="P430" s="12"/>
      <c r="Q430" s="12"/>
    </row>
    <row r="431" spans="1:17" s="8" customFormat="1" ht="15.5" customHeight="1" x14ac:dyDescent="0.2">
      <c r="A431" s="63" t="s">
        <v>70</v>
      </c>
      <c r="B431" s="66">
        <v>200</v>
      </c>
      <c r="C431" s="63" t="s">
        <v>70</v>
      </c>
      <c r="D431" s="60" t="s">
        <v>64</v>
      </c>
      <c r="E431" s="60" t="s">
        <v>13</v>
      </c>
      <c r="F431" s="60"/>
      <c r="G431" s="60" t="s">
        <v>23</v>
      </c>
      <c r="H431" s="60" t="s">
        <v>38</v>
      </c>
      <c r="I431" s="61" t="s">
        <v>243</v>
      </c>
      <c r="L431" s="12"/>
      <c r="M431" s="12"/>
      <c r="N431" s="12"/>
      <c r="O431" s="12"/>
      <c r="P431" s="12"/>
      <c r="Q431" s="12"/>
    </row>
    <row r="432" spans="1:17" s="8" customFormat="1" ht="15.5" customHeight="1" x14ac:dyDescent="0.2">
      <c r="A432" s="63" t="s">
        <v>91</v>
      </c>
      <c r="B432" s="66">
        <v>600</v>
      </c>
      <c r="C432" s="63" t="s">
        <v>91</v>
      </c>
      <c r="D432" s="60" t="s">
        <v>11</v>
      </c>
      <c r="E432" s="60" t="s">
        <v>13</v>
      </c>
      <c r="F432" s="60"/>
      <c r="G432" s="60" t="s">
        <v>23</v>
      </c>
      <c r="H432" s="60" t="s">
        <v>38</v>
      </c>
      <c r="I432" s="61" t="s">
        <v>243</v>
      </c>
      <c r="L432" s="12"/>
      <c r="M432" s="12"/>
      <c r="N432" s="12"/>
      <c r="O432" s="12"/>
      <c r="P432" s="12"/>
      <c r="Q432" s="12"/>
    </row>
    <row r="433" spans="1:17" s="8" customFormat="1" ht="15.5" customHeight="1" x14ac:dyDescent="0.2">
      <c r="A433" s="63" t="s">
        <v>58</v>
      </c>
      <c r="B433" s="66">
        <v>100</v>
      </c>
      <c r="C433" s="63" t="s">
        <v>58</v>
      </c>
      <c r="D433" s="60" t="s">
        <v>11</v>
      </c>
      <c r="E433" s="60" t="s">
        <v>13</v>
      </c>
      <c r="F433" s="60"/>
      <c r="G433" s="60" t="s">
        <v>23</v>
      </c>
      <c r="H433" s="60" t="s">
        <v>38</v>
      </c>
      <c r="I433" s="61" t="s">
        <v>243</v>
      </c>
      <c r="L433" s="12"/>
      <c r="M433" s="12"/>
      <c r="N433" s="12"/>
      <c r="O433" s="12"/>
      <c r="P433" s="12"/>
      <c r="Q433" s="12"/>
    </row>
    <row r="434" spans="1:17" s="8" customFormat="1" ht="15.5" customHeight="1" x14ac:dyDescent="0.2">
      <c r="A434" s="63" t="s">
        <v>92</v>
      </c>
      <c r="B434" s="66">
        <v>600</v>
      </c>
      <c r="C434" s="63" t="s">
        <v>92</v>
      </c>
      <c r="D434" s="60" t="s">
        <v>11</v>
      </c>
      <c r="E434" s="60" t="s">
        <v>13</v>
      </c>
      <c r="F434" s="60"/>
      <c r="G434" s="60" t="s">
        <v>23</v>
      </c>
      <c r="H434" s="60" t="s">
        <v>38</v>
      </c>
      <c r="I434" s="61" t="s">
        <v>243</v>
      </c>
      <c r="L434" s="12"/>
      <c r="M434" s="12"/>
      <c r="N434" s="12"/>
      <c r="O434" s="12"/>
      <c r="P434" s="12"/>
      <c r="Q434" s="12"/>
    </row>
    <row r="435" spans="1:17" s="8" customFormat="1" ht="15.5" customHeight="1" x14ac:dyDescent="0.2">
      <c r="A435" s="63" t="s">
        <v>93</v>
      </c>
      <c r="B435" s="66">
        <v>100</v>
      </c>
      <c r="C435" s="63" t="s">
        <v>93</v>
      </c>
      <c r="D435" s="60" t="s">
        <v>94</v>
      </c>
      <c r="E435" s="60" t="s">
        <v>13</v>
      </c>
      <c r="F435" s="60"/>
      <c r="G435" s="60" t="s">
        <v>23</v>
      </c>
      <c r="H435" s="60" t="s">
        <v>38</v>
      </c>
      <c r="I435" s="61" t="s">
        <v>243</v>
      </c>
      <c r="L435" s="12"/>
      <c r="M435" s="12"/>
      <c r="N435" s="12"/>
      <c r="O435" s="12"/>
      <c r="P435" s="12"/>
      <c r="Q435" s="12"/>
    </row>
    <row r="436" spans="1:17" s="8" customFormat="1" ht="15.5" customHeight="1" x14ac:dyDescent="0.2">
      <c r="A436" s="63" t="s">
        <v>95</v>
      </c>
      <c r="B436" s="66">
        <v>200</v>
      </c>
      <c r="C436" s="63" t="s">
        <v>95</v>
      </c>
      <c r="D436" s="60" t="s">
        <v>11</v>
      </c>
      <c r="E436" s="60" t="s">
        <v>13</v>
      </c>
      <c r="F436" s="60"/>
      <c r="G436" s="60" t="s">
        <v>23</v>
      </c>
      <c r="H436" s="60" t="s">
        <v>38</v>
      </c>
      <c r="I436" s="61" t="s">
        <v>243</v>
      </c>
      <c r="L436" s="12"/>
      <c r="M436" s="12"/>
      <c r="N436" s="12"/>
      <c r="O436" s="12"/>
      <c r="P436" s="12"/>
      <c r="Q436" s="12"/>
    </row>
    <row r="437" spans="1:17" s="8" customFormat="1" ht="15.5" customHeight="1" x14ac:dyDescent="0.2">
      <c r="A437" s="63" t="s">
        <v>96</v>
      </c>
      <c r="B437" s="66">
        <v>100</v>
      </c>
      <c r="C437" s="63" t="s">
        <v>96</v>
      </c>
      <c r="D437" s="60" t="s">
        <v>11</v>
      </c>
      <c r="E437" s="60" t="s">
        <v>13</v>
      </c>
      <c r="F437" s="60"/>
      <c r="G437" s="60" t="s">
        <v>23</v>
      </c>
      <c r="H437" s="60" t="s">
        <v>38</v>
      </c>
      <c r="I437" s="61" t="s">
        <v>244</v>
      </c>
      <c r="L437" s="12"/>
      <c r="M437" s="12"/>
      <c r="N437" s="12"/>
      <c r="O437" s="12"/>
      <c r="P437" s="12"/>
      <c r="Q437" s="12"/>
    </row>
    <row r="438" spans="1:17" s="8" customFormat="1" ht="15.5" customHeight="1" x14ac:dyDescent="0.2">
      <c r="A438" s="63" t="s">
        <v>73</v>
      </c>
      <c r="B438" s="66">
        <v>27.4</v>
      </c>
      <c r="C438" s="63" t="s">
        <v>73</v>
      </c>
      <c r="D438" s="60" t="s">
        <v>11</v>
      </c>
      <c r="E438" s="60" t="s">
        <v>13</v>
      </c>
      <c r="F438" s="60"/>
      <c r="G438" s="60" t="s">
        <v>23</v>
      </c>
      <c r="H438" s="60" t="s">
        <v>38</v>
      </c>
      <c r="I438" s="61" t="s">
        <v>245</v>
      </c>
      <c r="L438" s="12"/>
      <c r="M438" s="12"/>
      <c r="N438" s="12"/>
      <c r="O438" s="12"/>
      <c r="P438" s="12"/>
      <c r="Q438" s="12"/>
    </row>
    <row r="439" spans="1:17" s="8" customFormat="1" ht="15.5" customHeight="1" x14ac:dyDescent="0.2">
      <c r="A439" s="63" t="s">
        <v>75</v>
      </c>
      <c r="B439" s="66">
        <v>27.4</v>
      </c>
      <c r="C439" s="63" t="s">
        <v>75</v>
      </c>
      <c r="D439" s="60" t="s">
        <v>11</v>
      </c>
      <c r="E439" s="60" t="s">
        <v>13</v>
      </c>
      <c r="F439" s="60"/>
      <c r="G439" s="60" t="s">
        <v>23</v>
      </c>
      <c r="H439" s="60" t="s">
        <v>38</v>
      </c>
      <c r="I439" s="61" t="s">
        <v>245</v>
      </c>
      <c r="L439" s="12"/>
      <c r="M439" s="12"/>
      <c r="N439" s="12"/>
      <c r="O439" s="12"/>
      <c r="P439" s="12"/>
      <c r="Q439" s="12"/>
    </row>
    <row r="440" spans="1:17" s="8" customFormat="1" ht="15.5" customHeight="1" x14ac:dyDescent="0.2">
      <c r="A440" s="63" t="s">
        <v>73</v>
      </c>
      <c r="B440" s="66">
        <v>2.4</v>
      </c>
      <c r="C440" s="63" t="s">
        <v>73</v>
      </c>
      <c r="D440" s="60" t="s">
        <v>11</v>
      </c>
      <c r="E440" s="60" t="s">
        <v>13</v>
      </c>
      <c r="F440" s="60"/>
      <c r="G440" s="60" t="s">
        <v>23</v>
      </c>
      <c r="H440" s="60" t="s">
        <v>38</v>
      </c>
      <c r="I440" s="61" t="s">
        <v>246</v>
      </c>
      <c r="L440" s="12"/>
      <c r="M440" s="12"/>
      <c r="N440" s="12"/>
      <c r="O440" s="12"/>
      <c r="P440" s="12"/>
      <c r="Q440" s="12"/>
    </row>
    <row r="441" spans="1:17" s="8" customFormat="1" ht="15.5" customHeight="1" x14ac:dyDescent="0.2">
      <c r="A441" s="63" t="s">
        <v>75</v>
      </c>
      <c r="B441" s="66">
        <v>2.4</v>
      </c>
      <c r="C441" s="63" t="s">
        <v>75</v>
      </c>
      <c r="D441" s="60" t="s">
        <v>11</v>
      </c>
      <c r="E441" s="60" t="s">
        <v>13</v>
      </c>
      <c r="F441" s="60"/>
      <c r="G441" s="60" t="s">
        <v>23</v>
      </c>
      <c r="H441" s="60" t="s">
        <v>38</v>
      </c>
      <c r="I441" s="61" t="s">
        <v>246</v>
      </c>
      <c r="L441" s="12"/>
      <c r="M441" s="12"/>
      <c r="N441" s="12"/>
      <c r="O441" s="12"/>
      <c r="P441" s="12"/>
      <c r="Q441" s="12"/>
    </row>
    <row r="442" spans="1:17" s="8" customFormat="1" ht="15.5" customHeight="1" x14ac:dyDescent="0.2">
      <c r="A442" s="63" t="s">
        <v>73</v>
      </c>
      <c r="B442" s="66">
        <v>64.099999999999994</v>
      </c>
      <c r="C442" s="63" t="s">
        <v>73</v>
      </c>
      <c r="D442" s="60" t="s">
        <v>11</v>
      </c>
      <c r="E442" s="60" t="s">
        <v>13</v>
      </c>
      <c r="F442" s="60"/>
      <c r="G442" s="60" t="s">
        <v>23</v>
      </c>
      <c r="H442" s="60" t="s">
        <v>38</v>
      </c>
      <c r="I442" s="61" t="s">
        <v>247</v>
      </c>
      <c r="L442" s="12"/>
      <c r="M442" s="12"/>
      <c r="N442" s="12"/>
      <c r="O442" s="12"/>
      <c r="P442" s="12"/>
      <c r="Q442" s="12"/>
    </row>
    <row r="443" spans="1:17" s="8" customFormat="1" ht="15.5" customHeight="1" x14ac:dyDescent="0.2">
      <c r="A443" s="63" t="s">
        <v>75</v>
      </c>
      <c r="B443" s="66">
        <v>64.099999999999994</v>
      </c>
      <c r="C443" s="63" t="s">
        <v>75</v>
      </c>
      <c r="D443" s="60" t="s">
        <v>11</v>
      </c>
      <c r="E443" s="60" t="s">
        <v>13</v>
      </c>
      <c r="F443" s="60"/>
      <c r="G443" s="60" t="s">
        <v>23</v>
      </c>
      <c r="H443" s="60" t="s">
        <v>38</v>
      </c>
      <c r="I443" s="61" t="s">
        <v>247</v>
      </c>
      <c r="L443" s="12"/>
      <c r="M443" s="12"/>
      <c r="N443" s="12"/>
      <c r="O443" s="12"/>
      <c r="P443" s="12"/>
      <c r="Q443" s="12"/>
    </row>
    <row r="444" spans="1:17" s="8" customFormat="1" ht="15.5" customHeight="1" x14ac:dyDescent="0.2">
      <c r="A444" s="63" t="s">
        <v>73</v>
      </c>
      <c r="B444" s="66">
        <v>150.30000000000001</v>
      </c>
      <c r="C444" s="63" t="s">
        <v>73</v>
      </c>
      <c r="D444" s="60" t="s">
        <v>11</v>
      </c>
      <c r="E444" s="60" t="s">
        <v>13</v>
      </c>
      <c r="F444" s="60"/>
      <c r="G444" s="60" t="s">
        <v>23</v>
      </c>
      <c r="H444" s="60" t="s">
        <v>38</v>
      </c>
      <c r="I444" s="61" t="s">
        <v>248</v>
      </c>
      <c r="L444" s="12"/>
      <c r="M444" s="12"/>
      <c r="N444" s="12"/>
      <c r="O444" s="12"/>
      <c r="P444" s="12"/>
      <c r="Q444" s="12"/>
    </row>
    <row r="445" spans="1:17" s="8" customFormat="1" ht="15.5" customHeight="1" x14ac:dyDescent="0.2">
      <c r="A445" s="63" t="s">
        <v>75</v>
      </c>
      <c r="B445" s="66">
        <v>150.30000000000001</v>
      </c>
      <c r="C445" s="63" t="s">
        <v>75</v>
      </c>
      <c r="D445" s="60" t="s">
        <v>11</v>
      </c>
      <c r="E445" s="60" t="s">
        <v>13</v>
      </c>
      <c r="F445" s="60"/>
      <c r="G445" s="60" t="s">
        <v>23</v>
      </c>
      <c r="H445" s="60" t="s">
        <v>38</v>
      </c>
      <c r="I445" s="61" t="s">
        <v>248</v>
      </c>
      <c r="L445" s="12"/>
      <c r="M445" s="12"/>
      <c r="N445" s="12"/>
      <c r="O445" s="12"/>
      <c r="P445" s="12"/>
      <c r="Q445" s="12"/>
    </row>
    <row r="446" spans="1:17" s="8" customFormat="1" ht="15.5" customHeight="1" x14ac:dyDescent="0.2">
      <c r="A446" s="63" t="s">
        <v>249</v>
      </c>
      <c r="B446" s="66">
        <v>1.4</v>
      </c>
      <c r="C446" s="63" t="s">
        <v>249</v>
      </c>
      <c r="D446" s="60" t="s">
        <v>11</v>
      </c>
      <c r="E446" s="60" t="s">
        <v>13</v>
      </c>
      <c r="F446" s="60"/>
      <c r="G446" s="60" t="s">
        <v>23</v>
      </c>
      <c r="H446" s="60" t="s">
        <v>38</v>
      </c>
      <c r="I446" s="61" t="s">
        <v>250</v>
      </c>
      <c r="L446" s="12"/>
      <c r="M446" s="12"/>
      <c r="N446" s="12"/>
      <c r="O446" s="12"/>
      <c r="P446" s="12"/>
      <c r="Q446" s="12"/>
    </row>
    <row r="447" spans="1:17" s="8" customFormat="1" ht="15.5" customHeight="1" x14ac:dyDescent="0.2">
      <c r="A447" s="63" t="s">
        <v>105</v>
      </c>
      <c r="B447" s="66">
        <v>1.4</v>
      </c>
      <c r="C447" s="63" t="s">
        <v>105</v>
      </c>
      <c r="D447" s="60" t="s">
        <v>11</v>
      </c>
      <c r="E447" s="60" t="s">
        <v>13</v>
      </c>
      <c r="F447" s="60"/>
      <c r="G447" s="60" t="s">
        <v>23</v>
      </c>
      <c r="H447" s="60" t="s">
        <v>38</v>
      </c>
      <c r="I447" s="61" t="s">
        <v>250</v>
      </c>
      <c r="L447" s="12"/>
      <c r="M447" s="12"/>
      <c r="N447" s="12"/>
      <c r="O447" s="12"/>
      <c r="P447" s="12"/>
      <c r="Q447" s="12"/>
    </row>
    <row r="448" spans="1:17" s="8" customFormat="1" ht="15.5" customHeight="1" x14ac:dyDescent="0.2">
      <c r="A448" s="63" t="s">
        <v>93</v>
      </c>
      <c r="B448" s="66">
        <v>1.4</v>
      </c>
      <c r="C448" s="63" t="s">
        <v>93</v>
      </c>
      <c r="D448" s="60" t="s">
        <v>94</v>
      </c>
      <c r="E448" s="60" t="s">
        <v>13</v>
      </c>
      <c r="F448" s="60"/>
      <c r="G448" s="60" t="s">
        <v>23</v>
      </c>
      <c r="H448" s="60" t="s">
        <v>38</v>
      </c>
      <c r="I448" s="61" t="s">
        <v>250</v>
      </c>
      <c r="L448" s="12"/>
      <c r="M448" s="12"/>
      <c r="N448" s="12"/>
      <c r="O448" s="12"/>
      <c r="P448" s="12"/>
      <c r="Q448" s="12"/>
    </row>
    <row r="449" spans="1:17" s="8" customFormat="1" ht="15.5" customHeight="1" x14ac:dyDescent="0.2">
      <c r="A449" s="63" t="s">
        <v>70</v>
      </c>
      <c r="B449" s="66">
        <v>2.8</v>
      </c>
      <c r="C449" s="63" t="s">
        <v>70</v>
      </c>
      <c r="D449" s="60" t="s">
        <v>64</v>
      </c>
      <c r="E449" s="60" t="s">
        <v>13</v>
      </c>
      <c r="F449" s="60"/>
      <c r="G449" s="60" t="s">
        <v>23</v>
      </c>
      <c r="H449" s="60" t="s">
        <v>38</v>
      </c>
      <c r="I449" s="61" t="s">
        <v>250</v>
      </c>
      <c r="L449" s="12"/>
      <c r="M449" s="12"/>
      <c r="N449" s="12"/>
      <c r="O449" s="12"/>
      <c r="P449" s="12"/>
      <c r="Q449" s="12"/>
    </row>
    <row r="450" spans="1:17" s="8" customFormat="1" ht="15.5" customHeight="1" x14ac:dyDescent="0.2">
      <c r="A450" s="63" t="s">
        <v>95</v>
      </c>
      <c r="B450" s="66">
        <v>2.8</v>
      </c>
      <c r="C450" s="63" t="s">
        <v>95</v>
      </c>
      <c r="D450" s="60" t="s">
        <v>11</v>
      </c>
      <c r="E450" s="60" t="s">
        <v>13</v>
      </c>
      <c r="F450" s="60"/>
      <c r="G450" s="60" t="s">
        <v>23</v>
      </c>
      <c r="H450" s="60" t="s">
        <v>38</v>
      </c>
      <c r="I450" s="61" t="s">
        <v>250</v>
      </c>
      <c r="L450" s="12"/>
      <c r="M450" s="12"/>
      <c r="N450" s="12"/>
      <c r="O450" s="12"/>
      <c r="P450" s="12"/>
      <c r="Q450" s="12"/>
    </row>
    <row r="451" spans="1:17" s="8" customFormat="1" ht="15.5" customHeight="1" x14ac:dyDescent="0.2">
      <c r="A451" s="63" t="s">
        <v>91</v>
      </c>
      <c r="B451" s="66">
        <v>8.5</v>
      </c>
      <c r="C451" s="63" t="s">
        <v>91</v>
      </c>
      <c r="D451" s="60" t="s">
        <v>11</v>
      </c>
      <c r="E451" s="60" t="s">
        <v>13</v>
      </c>
      <c r="F451" s="60"/>
      <c r="G451" s="60" t="s">
        <v>23</v>
      </c>
      <c r="H451" s="60" t="s">
        <v>38</v>
      </c>
      <c r="I451" s="61" t="s">
        <v>250</v>
      </c>
      <c r="L451" s="12"/>
      <c r="M451" s="12"/>
      <c r="N451" s="12"/>
      <c r="O451" s="12"/>
      <c r="P451" s="12"/>
      <c r="Q451" s="12"/>
    </row>
    <row r="452" spans="1:17" s="8" customFormat="1" ht="15.5" customHeight="1" x14ac:dyDescent="0.2">
      <c r="A452" s="63" t="s">
        <v>92</v>
      </c>
      <c r="B452" s="66">
        <v>8.5</v>
      </c>
      <c r="C452" s="63" t="s">
        <v>92</v>
      </c>
      <c r="D452" s="60" t="s">
        <v>11</v>
      </c>
      <c r="E452" s="60" t="s">
        <v>13</v>
      </c>
      <c r="F452" s="60"/>
      <c r="G452" s="60" t="s">
        <v>23</v>
      </c>
      <c r="H452" s="60" t="s">
        <v>38</v>
      </c>
      <c r="I452" s="61" t="s">
        <v>250</v>
      </c>
      <c r="L452" s="12"/>
      <c r="M452" s="12"/>
      <c r="N452" s="12"/>
      <c r="O452" s="12"/>
      <c r="P452" s="12"/>
      <c r="Q452" s="12"/>
    </row>
    <row r="453" spans="1:17" s="8" customFormat="1" ht="15.5" customHeight="1" x14ac:dyDescent="0.2">
      <c r="A453" s="63" t="s">
        <v>91</v>
      </c>
      <c r="B453" s="66">
        <v>452.1</v>
      </c>
      <c r="C453" s="63" t="s">
        <v>91</v>
      </c>
      <c r="D453" s="60" t="s">
        <v>11</v>
      </c>
      <c r="E453" s="60" t="s">
        <v>13</v>
      </c>
      <c r="F453" s="60"/>
      <c r="G453" s="60" t="s">
        <v>23</v>
      </c>
      <c r="H453" s="60" t="s">
        <v>38</v>
      </c>
      <c r="I453" s="61" t="s">
        <v>251</v>
      </c>
      <c r="L453" s="12"/>
      <c r="M453" s="12"/>
      <c r="N453" s="12"/>
      <c r="O453" s="12"/>
      <c r="P453" s="12"/>
      <c r="Q453" s="12"/>
    </row>
    <row r="454" spans="1:17" s="8" customFormat="1" ht="15.5" customHeight="1" x14ac:dyDescent="0.2">
      <c r="A454" s="63" t="s">
        <v>92</v>
      </c>
      <c r="B454" s="66">
        <v>452.1</v>
      </c>
      <c r="C454" s="63" t="s">
        <v>92</v>
      </c>
      <c r="D454" s="60" t="s">
        <v>11</v>
      </c>
      <c r="E454" s="60" t="s">
        <v>13</v>
      </c>
      <c r="F454" s="60"/>
      <c r="G454" s="60" t="s">
        <v>23</v>
      </c>
      <c r="H454" s="60" t="s">
        <v>38</v>
      </c>
      <c r="I454" s="61" t="s">
        <v>251</v>
      </c>
      <c r="L454" s="12"/>
      <c r="M454" s="12"/>
      <c r="N454" s="12"/>
      <c r="O454" s="12"/>
      <c r="P454" s="12"/>
      <c r="Q454" s="12"/>
    </row>
    <row r="455" spans="1:17" s="8" customFormat="1" ht="15.5" customHeight="1" x14ac:dyDescent="0.2">
      <c r="A455" s="63" t="s">
        <v>91</v>
      </c>
      <c r="B455" s="66">
        <v>399</v>
      </c>
      <c r="C455" s="63" t="s">
        <v>91</v>
      </c>
      <c r="D455" s="60" t="s">
        <v>11</v>
      </c>
      <c r="E455" s="60" t="s">
        <v>13</v>
      </c>
      <c r="F455" s="60"/>
      <c r="G455" s="60" t="s">
        <v>23</v>
      </c>
      <c r="H455" s="60" t="s">
        <v>38</v>
      </c>
      <c r="I455" s="61" t="s">
        <v>252</v>
      </c>
      <c r="L455" s="12"/>
      <c r="M455" s="12"/>
      <c r="N455" s="12"/>
      <c r="O455" s="12"/>
      <c r="P455" s="12"/>
      <c r="Q455" s="12"/>
    </row>
    <row r="456" spans="1:17" s="8" customFormat="1" ht="15.5" customHeight="1" x14ac:dyDescent="0.2">
      <c r="A456" s="63" t="s">
        <v>92</v>
      </c>
      <c r="B456" s="66">
        <v>399</v>
      </c>
      <c r="C456" s="63" t="s">
        <v>92</v>
      </c>
      <c r="D456" s="60" t="s">
        <v>11</v>
      </c>
      <c r="E456" s="60" t="s">
        <v>13</v>
      </c>
      <c r="F456" s="60"/>
      <c r="G456" s="60" t="s">
        <v>23</v>
      </c>
      <c r="H456" s="60" t="s">
        <v>38</v>
      </c>
      <c r="I456" s="61" t="s">
        <v>252</v>
      </c>
      <c r="L456" s="12"/>
      <c r="M456" s="12"/>
      <c r="N456" s="12"/>
      <c r="O456" s="12"/>
      <c r="P456" s="12"/>
      <c r="Q456" s="12"/>
    </row>
    <row r="457" spans="1:17" s="8" customFormat="1" ht="15.5" customHeight="1" x14ac:dyDescent="0.2">
      <c r="A457" s="63" t="s">
        <v>91</v>
      </c>
      <c r="B457" s="66">
        <v>7</v>
      </c>
      <c r="C457" s="63" t="s">
        <v>91</v>
      </c>
      <c r="D457" s="60" t="s">
        <v>11</v>
      </c>
      <c r="E457" s="60" t="s">
        <v>13</v>
      </c>
      <c r="F457" s="60"/>
      <c r="G457" s="60" t="s">
        <v>23</v>
      </c>
      <c r="H457" s="60" t="s">
        <v>38</v>
      </c>
      <c r="I457" s="61" t="s">
        <v>253</v>
      </c>
      <c r="L457" s="12"/>
      <c r="M457" s="12"/>
      <c r="N457" s="12"/>
      <c r="O457" s="12"/>
      <c r="P457" s="12"/>
      <c r="Q457" s="12"/>
    </row>
    <row r="458" spans="1:17" s="8" customFormat="1" ht="15.5" customHeight="1" x14ac:dyDescent="0.2">
      <c r="A458" s="63" t="s">
        <v>92</v>
      </c>
      <c r="B458" s="66">
        <v>7</v>
      </c>
      <c r="C458" s="63" t="s">
        <v>92</v>
      </c>
      <c r="D458" s="60" t="s">
        <v>11</v>
      </c>
      <c r="E458" s="60" t="s">
        <v>13</v>
      </c>
      <c r="F458" s="60"/>
      <c r="G458" s="60" t="s">
        <v>23</v>
      </c>
      <c r="H458" s="60" t="s">
        <v>38</v>
      </c>
      <c r="I458" s="61" t="s">
        <v>253</v>
      </c>
      <c r="L458" s="12"/>
      <c r="M458" s="12"/>
      <c r="N458" s="12"/>
      <c r="O458" s="12"/>
      <c r="P458" s="12"/>
      <c r="Q458" s="12"/>
    </row>
    <row r="459" spans="1:17" s="8" customFormat="1" ht="15.5" customHeight="1" x14ac:dyDescent="0.2">
      <c r="A459" s="63" t="s">
        <v>56</v>
      </c>
      <c r="B459" s="66">
        <v>1</v>
      </c>
      <c r="C459" s="63" t="s">
        <v>56</v>
      </c>
      <c r="D459" s="60" t="s">
        <v>11</v>
      </c>
      <c r="E459" s="60" t="s">
        <v>13</v>
      </c>
      <c r="F459" s="60"/>
      <c r="G459" s="60" t="s">
        <v>23</v>
      </c>
      <c r="H459" s="60" t="s">
        <v>38</v>
      </c>
      <c r="I459" s="61" t="s">
        <v>254</v>
      </c>
      <c r="L459" s="12"/>
      <c r="M459" s="12"/>
      <c r="N459" s="12"/>
      <c r="O459" s="12"/>
      <c r="P459" s="12"/>
      <c r="Q459" s="12"/>
    </row>
    <row r="460" spans="1:17" s="8" customFormat="1" ht="15.5" customHeight="1" x14ac:dyDescent="0.2">
      <c r="A460" s="63" t="s">
        <v>70</v>
      </c>
      <c r="B460" s="66">
        <v>0.7</v>
      </c>
      <c r="C460" s="63" t="s">
        <v>70</v>
      </c>
      <c r="D460" s="60" t="s">
        <v>64</v>
      </c>
      <c r="E460" s="60" t="s">
        <v>13</v>
      </c>
      <c r="F460" s="60"/>
      <c r="G460" s="60" t="s">
        <v>23</v>
      </c>
      <c r="H460" s="60" t="s">
        <v>38</v>
      </c>
      <c r="I460" s="61" t="s">
        <v>254</v>
      </c>
      <c r="L460" s="12"/>
      <c r="M460" s="12"/>
      <c r="N460" s="12"/>
      <c r="O460" s="12"/>
      <c r="P460" s="12"/>
      <c r="Q460" s="12"/>
    </row>
    <row r="461" spans="1:17" s="8" customFormat="1" ht="15.5" customHeight="1" x14ac:dyDescent="0.2">
      <c r="A461" s="63" t="s">
        <v>91</v>
      </c>
      <c r="B461" s="66">
        <v>3</v>
      </c>
      <c r="C461" s="63" t="s">
        <v>91</v>
      </c>
      <c r="D461" s="60" t="s">
        <v>11</v>
      </c>
      <c r="E461" s="60" t="s">
        <v>13</v>
      </c>
      <c r="F461" s="60"/>
      <c r="G461" s="60" t="s">
        <v>23</v>
      </c>
      <c r="H461" s="60" t="s">
        <v>38</v>
      </c>
      <c r="I461" s="61" t="s">
        <v>254</v>
      </c>
      <c r="L461" s="12"/>
      <c r="M461" s="12"/>
      <c r="N461" s="12"/>
      <c r="O461" s="12"/>
      <c r="P461" s="12"/>
      <c r="Q461" s="12"/>
    </row>
    <row r="462" spans="1:17" s="8" customFormat="1" ht="15.5" customHeight="1" x14ac:dyDescent="0.2">
      <c r="A462" s="63" t="s">
        <v>93</v>
      </c>
      <c r="B462" s="66">
        <v>0.2</v>
      </c>
      <c r="C462" s="63" t="s">
        <v>93</v>
      </c>
      <c r="D462" s="60" t="s">
        <v>94</v>
      </c>
      <c r="E462" s="60" t="s">
        <v>13</v>
      </c>
      <c r="F462" s="60"/>
      <c r="G462" s="60" t="s">
        <v>23</v>
      </c>
      <c r="H462" s="60" t="s">
        <v>38</v>
      </c>
      <c r="I462" s="61" t="s">
        <v>254</v>
      </c>
      <c r="L462" s="12"/>
      <c r="M462" s="12"/>
      <c r="N462" s="12"/>
      <c r="O462" s="12"/>
      <c r="P462" s="12"/>
      <c r="Q462" s="12"/>
    </row>
    <row r="463" spans="1:17" s="8" customFormat="1" ht="15.5" customHeight="1" x14ac:dyDescent="0.2">
      <c r="A463" s="63" t="s">
        <v>95</v>
      </c>
      <c r="B463" s="66">
        <v>0.7</v>
      </c>
      <c r="C463" s="63" t="s">
        <v>95</v>
      </c>
      <c r="D463" s="60" t="s">
        <v>11</v>
      </c>
      <c r="E463" s="60" t="s">
        <v>13</v>
      </c>
      <c r="F463" s="60"/>
      <c r="G463" s="60" t="s">
        <v>23</v>
      </c>
      <c r="H463" s="60" t="s">
        <v>38</v>
      </c>
      <c r="I463" s="61" t="s">
        <v>254</v>
      </c>
      <c r="L463" s="12"/>
      <c r="M463" s="12"/>
      <c r="N463" s="12"/>
      <c r="O463" s="12"/>
      <c r="P463" s="12"/>
      <c r="Q463" s="12"/>
    </row>
    <row r="464" spans="1:17" s="8" customFormat="1" ht="15.5" customHeight="1" x14ac:dyDescent="0.2">
      <c r="A464" s="63" t="s">
        <v>98</v>
      </c>
      <c r="B464" s="66">
        <v>1503.6</v>
      </c>
      <c r="C464" s="63" t="s">
        <v>98</v>
      </c>
      <c r="D464" s="60" t="s">
        <v>11</v>
      </c>
      <c r="E464" s="60" t="s">
        <v>13</v>
      </c>
      <c r="F464" s="60"/>
      <c r="G464" s="60" t="s">
        <v>23</v>
      </c>
      <c r="H464" s="60" t="s">
        <v>38</v>
      </c>
      <c r="I464" s="61" t="s">
        <v>255</v>
      </c>
      <c r="L464" s="12"/>
      <c r="M464" s="12"/>
      <c r="N464" s="12"/>
      <c r="O464" s="12"/>
      <c r="P464" s="12"/>
      <c r="Q464" s="12"/>
    </row>
    <row r="465" spans="1:17" s="8" customFormat="1" ht="15.5" customHeight="1" x14ac:dyDescent="0.2">
      <c r="A465" s="63" t="s">
        <v>92</v>
      </c>
      <c r="B465" s="66">
        <v>1503.6</v>
      </c>
      <c r="C465" s="63" t="s">
        <v>92</v>
      </c>
      <c r="D465" s="60" t="s">
        <v>11</v>
      </c>
      <c r="E465" s="60" t="s">
        <v>13</v>
      </c>
      <c r="F465" s="60"/>
      <c r="G465" s="60" t="s">
        <v>23</v>
      </c>
      <c r="H465" s="60" t="s">
        <v>38</v>
      </c>
      <c r="I465" s="61" t="s">
        <v>255</v>
      </c>
      <c r="L465" s="12"/>
      <c r="M465" s="12"/>
      <c r="N465" s="12"/>
      <c r="O465" s="12"/>
      <c r="P465" s="12"/>
      <c r="Q465" s="12"/>
    </row>
    <row r="466" spans="1:17" s="8" customFormat="1" ht="15.5" customHeight="1" x14ac:dyDescent="0.2">
      <c r="A466" s="63" t="s">
        <v>111</v>
      </c>
      <c r="B466" s="66">
        <v>534</v>
      </c>
      <c r="C466" s="63" t="s">
        <v>111</v>
      </c>
      <c r="D466" s="60" t="s">
        <v>11</v>
      </c>
      <c r="E466" s="60" t="s">
        <v>13</v>
      </c>
      <c r="F466" s="60"/>
      <c r="G466" s="60" t="s">
        <v>23</v>
      </c>
      <c r="H466" s="60" t="s">
        <v>38</v>
      </c>
      <c r="I466" s="61" t="s">
        <v>256</v>
      </c>
      <c r="L466" s="12"/>
      <c r="M466" s="12"/>
      <c r="N466" s="12"/>
      <c r="O466" s="12"/>
      <c r="P466" s="12"/>
      <c r="Q466" s="12"/>
    </row>
    <row r="467" spans="1:17" s="8" customFormat="1" ht="15.5" customHeight="1" x14ac:dyDescent="0.2">
      <c r="A467" s="63" t="s">
        <v>113</v>
      </c>
      <c r="B467" s="66">
        <v>534</v>
      </c>
      <c r="C467" s="63" t="s">
        <v>113</v>
      </c>
      <c r="D467" s="60" t="s">
        <v>11</v>
      </c>
      <c r="E467" s="60" t="s">
        <v>13</v>
      </c>
      <c r="F467" s="60"/>
      <c r="G467" s="60" t="s">
        <v>23</v>
      </c>
      <c r="H467" s="60" t="s">
        <v>38</v>
      </c>
      <c r="I467" s="61" t="s">
        <v>256</v>
      </c>
      <c r="L467" s="12"/>
      <c r="M467" s="12"/>
      <c r="N467" s="12"/>
      <c r="O467" s="12"/>
      <c r="P467" s="12"/>
      <c r="Q467" s="12"/>
    </row>
    <row r="468" spans="1:17" s="8" customFormat="1" ht="15.5" customHeight="1" x14ac:dyDescent="0.2">
      <c r="A468" s="63" t="s">
        <v>91</v>
      </c>
      <c r="B468" s="66">
        <v>267</v>
      </c>
      <c r="C468" s="63" t="s">
        <v>91</v>
      </c>
      <c r="D468" s="60" t="s">
        <v>11</v>
      </c>
      <c r="E468" s="60" t="s">
        <v>13</v>
      </c>
      <c r="F468" s="60"/>
      <c r="G468" s="60" t="s">
        <v>23</v>
      </c>
      <c r="H468" s="60" t="s">
        <v>38</v>
      </c>
      <c r="I468" s="61" t="s">
        <v>256</v>
      </c>
      <c r="L468" s="12"/>
      <c r="M468" s="12"/>
      <c r="N468" s="12"/>
      <c r="O468" s="12"/>
      <c r="P468" s="12"/>
      <c r="Q468" s="12"/>
    </row>
    <row r="469" spans="1:17" s="8" customFormat="1" ht="15.5" customHeight="1" x14ac:dyDescent="0.2">
      <c r="A469" s="63" t="s">
        <v>92</v>
      </c>
      <c r="B469" s="66">
        <v>267</v>
      </c>
      <c r="C469" s="63" t="s">
        <v>92</v>
      </c>
      <c r="D469" s="60" t="s">
        <v>11</v>
      </c>
      <c r="E469" s="60" t="s">
        <v>13</v>
      </c>
      <c r="F469" s="60"/>
      <c r="G469" s="60" t="s">
        <v>23</v>
      </c>
      <c r="H469" s="60" t="s">
        <v>38</v>
      </c>
      <c r="I469" s="61" t="s">
        <v>256</v>
      </c>
      <c r="L469" s="12"/>
      <c r="M469" s="12"/>
      <c r="N469" s="12"/>
      <c r="O469" s="12"/>
      <c r="P469" s="12"/>
      <c r="Q469" s="12"/>
    </row>
    <row r="470" spans="1:17" s="8" customFormat="1" ht="15.5" customHeight="1" x14ac:dyDescent="0.2">
      <c r="A470" s="63" t="s">
        <v>73</v>
      </c>
      <c r="B470" s="66">
        <v>588</v>
      </c>
      <c r="C470" s="63" t="s">
        <v>73</v>
      </c>
      <c r="D470" s="60" t="s">
        <v>11</v>
      </c>
      <c r="E470" s="60" t="s">
        <v>13</v>
      </c>
      <c r="F470" s="60"/>
      <c r="G470" s="60" t="s">
        <v>23</v>
      </c>
      <c r="H470" s="60" t="s">
        <v>38</v>
      </c>
      <c r="I470" s="61" t="s">
        <v>119</v>
      </c>
      <c r="L470" s="12"/>
      <c r="M470" s="12"/>
      <c r="N470" s="12"/>
      <c r="O470" s="12"/>
      <c r="P470" s="12"/>
      <c r="Q470" s="12"/>
    </row>
    <row r="471" spans="1:17" s="8" customFormat="1" ht="15.5" customHeight="1" x14ac:dyDescent="0.2">
      <c r="A471" s="63" t="s">
        <v>75</v>
      </c>
      <c r="B471" s="66">
        <v>588</v>
      </c>
      <c r="C471" s="63" t="s">
        <v>75</v>
      </c>
      <c r="D471" s="60" t="s">
        <v>11</v>
      </c>
      <c r="E471" s="60" t="s">
        <v>13</v>
      </c>
      <c r="F471" s="60"/>
      <c r="G471" s="60" t="s">
        <v>23</v>
      </c>
      <c r="H471" s="60" t="s">
        <v>38</v>
      </c>
      <c r="I471" s="61" t="s">
        <v>119</v>
      </c>
      <c r="L471" s="12"/>
      <c r="M471" s="12"/>
      <c r="N471" s="12"/>
      <c r="O471" s="12"/>
      <c r="P471" s="12"/>
      <c r="Q471" s="12"/>
    </row>
    <row r="472" spans="1:17" s="8" customFormat="1" ht="15.5" customHeight="1" x14ac:dyDescent="0.2">
      <c r="A472" s="63" t="s">
        <v>120</v>
      </c>
      <c r="B472" s="66">
        <v>33.299999999999997</v>
      </c>
      <c r="C472" s="63" t="s">
        <v>120</v>
      </c>
      <c r="D472" s="60" t="s">
        <v>11</v>
      </c>
      <c r="E472" s="60" t="s">
        <v>121</v>
      </c>
      <c r="F472" s="60"/>
      <c r="G472" s="60" t="s">
        <v>23</v>
      </c>
      <c r="H472" s="60" t="s">
        <v>38</v>
      </c>
      <c r="I472" s="61" t="s">
        <v>119</v>
      </c>
      <c r="L472" s="12"/>
      <c r="M472" s="12"/>
      <c r="N472" s="12"/>
      <c r="O472" s="12"/>
      <c r="P472" s="12"/>
      <c r="Q472" s="12"/>
    </row>
    <row r="473" spans="1:17" s="8" customFormat="1" ht="15.5" customHeight="1" x14ac:dyDescent="0.2">
      <c r="A473" s="63" t="s">
        <v>92</v>
      </c>
      <c r="B473" s="66">
        <v>2250</v>
      </c>
      <c r="C473" s="63" t="s">
        <v>92</v>
      </c>
      <c r="D473" s="60" t="s">
        <v>11</v>
      </c>
      <c r="E473" s="60" t="s">
        <v>13</v>
      </c>
      <c r="F473" s="60"/>
      <c r="G473" s="60" t="s">
        <v>23</v>
      </c>
      <c r="H473" s="60" t="s">
        <v>38</v>
      </c>
      <c r="I473" s="61" t="s">
        <v>122</v>
      </c>
      <c r="L473" s="12"/>
      <c r="M473" s="12"/>
      <c r="N473" s="12"/>
      <c r="O473" s="12"/>
      <c r="P473" s="12"/>
      <c r="Q473" s="12"/>
    </row>
    <row r="474" spans="1:17" s="8" customFormat="1" ht="15.5" customHeight="1" x14ac:dyDescent="0.2">
      <c r="A474" s="63" t="s">
        <v>98</v>
      </c>
      <c r="B474" s="66">
        <v>2250</v>
      </c>
      <c r="C474" s="63" t="s">
        <v>98</v>
      </c>
      <c r="D474" s="60" t="s">
        <v>11</v>
      </c>
      <c r="E474" s="60" t="s">
        <v>13</v>
      </c>
      <c r="F474" s="60"/>
      <c r="G474" s="60" t="s">
        <v>23</v>
      </c>
      <c r="H474" s="60" t="s">
        <v>38</v>
      </c>
      <c r="I474" s="61" t="s">
        <v>122</v>
      </c>
      <c r="L474" s="12"/>
      <c r="M474" s="12"/>
      <c r="N474" s="12"/>
      <c r="O474" s="12"/>
      <c r="P474" s="12"/>
      <c r="Q474" s="12"/>
    </row>
    <row r="475" spans="1:17" s="8" customFormat="1" ht="15.5" customHeight="1" x14ac:dyDescent="0.2">
      <c r="A475" s="63" t="s">
        <v>123</v>
      </c>
      <c r="B475" s="66">
        <v>2.2999999999999998</v>
      </c>
      <c r="C475" s="63" t="s">
        <v>123</v>
      </c>
      <c r="D475" s="60" t="s">
        <v>41</v>
      </c>
      <c r="E475" s="60" t="s">
        <v>124</v>
      </c>
      <c r="F475" s="60"/>
      <c r="G475" s="60" t="s">
        <v>23</v>
      </c>
      <c r="H475" s="60" t="s">
        <v>38</v>
      </c>
      <c r="I475" s="61" t="s">
        <v>257</v>
      </c>
      <c r="L475" s="12"/>
      <c r="M475" s="12"/>
      <c r="N475" s="12"/>
      <c r="O475" s="12"/>
      <c r="P475" s="12"/>
      <c r="Q475" s="12"/>
    </row>
    <row r="476" spans="1:17" s="8" customFormat="1" ht="15.5" customHeight="1" x14ac:dyDescent="0.2">
      <c r="A476" s="60" t="s">
        <v>36</v>
      </c>
      <c r="B476" s="66">
        <v>76420.2</v>
      </c>
      <c r="C476" s="60" t="s">
        <v>36</v>
      </c>
      <c r="D476" s="60" t="s">
        <v>64</v>
      </c>
      <c r="E476" s="60" t="s">
        <v>37</v>
      </c>
      <c r="F476" s="60"/>
      <c r="G476" s="60" t="s">
        <v>23</v>
      </c>
      <c r="H476" s="60" t="s">
        <v>38</v>
      </c>
      <c r="I476" s="60" t="s">
        <v>78</v>
      </c>
      <c r="L476" s="12"/>
      <c r="M476" s="12"/>
      <c r="N476" s="12"/>
      <c r="O476" s="12"/>
      <c r="P476" s="12"/>
      <c r="Q476" s="12"/>
    </row>
    <row r="477" spans="1:17" s="8" customFormat="1" ht="15" customHeight="1" x14ac:dyDescent="0.2">
      <c r="B477" s="9"/>
      <c r="C477" s="7"/>
      <c r="G477" s="7"/>
      <c r="H477" s="7"/>
      <c r="L477" s="9"/>
      <c r="M477" s="9"/>
      <c r="N477" s="9"/>
      <c r="O477" s="9"/>
      <c r="P477" s="9"/>
      <c r="Q477" s="9"/>
    </row>
    <row r="478" spans="1:17" s="8" customFormat="1" ht="15.5" customHeight="1" x14ac:dyDescent="0.2">
      <c r="A478" s="59" t="s">
        <v>3</v>
      </c>
      <c r="B478" s="82" t="s">
        <v>211</v>
      </c>
      <c r="C478" s="60"/>
      <c r="D478" s="60"/>
      <c r="E478" s="60"/>
      <c r="F478" s="60"/>
      <c r="G478" s="60"/>
      <c r="H478" s="60"/>
      <c r="I478" s="60"/>
      <c r="L478" s="9"/>
      <c r="M478" s="9"/>
      <c r="N478" s="9"/>
      <c r="O478" s="9"/>
      <c r="P478" s="9"/>
      <c r="Q478" s="9"/>
    </row>
    <row r="479" spans="1:17" s="8" customFormat="1" ht="15" customHeight="1" x14ac:dyDescent="0.2">
      <c r="A479" s="62" t="s">
        <v>5</v>
      </c>
      <c r="B479" s="83">
        <v>1</v>
      </c>
      <c r="C479" s="60"/>
      <c r="D479" s="60"/>
      <c r="E479" s="60"/>
      <c r="F479" s="60"/>
      <c r="G479" s="60"/>
      <c r="H479" s="60"/>
      <c r="I479" s="60"/>
      <c r="L479" s="9"/>
      <c r="M479" s="9"/>
      <c r="N479" s="9"/>
      <c r="O479" s="9"/>
      <c r="P479" s="9"/>
      <c r="Q479" s="9"/>
    </row>
    <row r="480" spans="1:17" s="8" customFormat="1" ht="15" customHeight="1" x14ac:dyDescent="0.2">
      <c r="A480" s="62" t="s">
        <v>6</v>
      </c>
      <c r="B480" s="83" t="s">
        <v>55</v>
      </c>
      <c r="C480" s="60"/>
      <c r="D480" s="60"/>
      <c r="E480" s="60"/>
      <c r="F480" s="60"/>
      <c r="G480" s="60"/>
      <c r="H480" s="60"/>
      <c r="I480" s="60"/>
      <c r="L480" s="9"/>
      <c r="M480" s="9"/>
      <c r="N480" s="9"/>
      <c r="O480" s="9"/>
      <c r="P480" s="9"/>
      <c r="Q480" s="9"/>
    </row>
    <row r="481" spans="1:21" s="8" customFormat="1" ht="15" customHeight="1" x14ac:dyDescent="0.2">
      <c r="A481" s="62" t="s">
        <v>8</v>
      </c>
      <c r="B481" s="66" t="s">
        <v>212</v>
      </c>
      <c r="C481" s="60"/>
      <c r="D481" s="60"/>
      <c r="E481" s="60"/>
      <c r="F481" s="60"/>
      <c r="G481" s="60"/>
      <c r="H481" s="60"/>
      <c r="I481" s="60"/>
      <c r="L481" s="9"/>
      <c r="M481" s="9"/>
      <c r="N481" s="9"/>
      <c r="O481" s="9"/>
      <c r="P481" s="9"/>
      <c r="Q481" s="9"/>
    </row>
    <row r="482" spans="1:21" s="8" customFormat="1" ht="15" customHeight="1" x14ac:dyDescent="0.2">
      <c r="A482" s="62" t="s">
        <v>10</v>
      </c>
      <c r="B482" s="83" t="s">
        <v>11</v>
      </c>
      <c r="C482" s="60"/>
      <c r="D482" s="60"/>
      <c r="E482" s="60"/>
      <c r="F482" s="60"/>
      <c r="G482" s="60"/>
      <c r="H482" s="60"/>
      <c r="I482" s="60"/>
      <c r="L482" s="9"/>
      <c r="M482" s="9"/>
      <c r="N482" s="9"/>
      <c r="O482" s="9"/>
      <c r="P482" s="9"/>
      <c r="Q482" s="9"/>
    </row>
    <row r="483" spans="1:21" s="8" customFormat="1" ht="15" customHeight="1" x14ac:dyDescent="0.2">
      <c r="A483" s="62" t="s">
        <v>12</v>
      </c>
      <c r="B483" s="66" t="s">
        <v>12</v>
      </c>
      <c r="C483" s="60"/>
      <c r="D483" s="60"/>
      <c r="E483" s="60"/>
      <c r="F483" s="60"/>
      <c r="G483" s="60"/>
      <c r="H483" s="60"/>
      <c r="I483" s="60"/>
      <c r="L483" s="9"/>
      <c r="M483" s="9"/>
      <c r="N483" s="9"/>
      <c r="O483" s="9"/>
      <c r="P483" s="9"/>
      <c r="Q483" s="9"/>
    </row>
    <row r="484" spans="1:21" s="8" customFormat="1" ht="15.5" customHeight="1" x14ac:dyDescent="0.2">
      <c r="A484" s="64" t="s">
        <v>14</v>
      </c>
      <c r="B484" s="82"/>
      <c r="C484" s="64"/>
      <c r="D484" s="64"/>
      <c r="E484" s="64"/>
      <c r="F484" s="64"/>
      <c r="G484" s="64"/>
      <c r="H484" s="64"/>
      <c r="I484" s="64"/>
      <c r="J484" s="10"/>
      <c r="K484" s="10"/>
      <c r="L484" s="9"/>
      <c r="M484" s="9"/>
      <c r="N484" s="9"/>
      <c r="O484" s="9"/>
      <c r="P484" s="9"/>
      <c r="Q484" s="9"/>
    </row>
    <row r="485" spans="1:21" s="8" customFormat="1" ht="15.5" customHeight="1" x14ac:dyDescent="0.2">
      <c r="A485" s="64" t="s">
        <v>15</v>
      </c>
      <c r="B485" s="82" t="s">
        <v>16</v>
      </c>
      <c r="C485" s="64" t="s">
        <v>8</v>
      </c>
      <c r="D485" s="64" t="s">
        <v>10</v>
      </c>
      <c r="E485" s="64" t="s">
        <v>12</v>
      </c>
      <c r="F485" s="65" t="s">
        <v>17</v>
      </c>
      <c r="G485" s="64" t="s">
        <v>18</v>
      </c>
      <c r="H485" s="63" t="s">
        <v>19</v>
      </c>
      <c r="I485" s="65" t="s">
        <v>6</v>
      </c>
      <c r="J485" s="10"/>
      <c r="K485" s="6"/>
      <c r="L485" s="11"/>
      <c r="M485" s="11"/>
      <c r="N485" s="11"/>
      <c r="O485" s="11"/>
      <c r="P485" s="11"/>
      <c r="Q485" s="11"/>
      <c r="R485" s="6"/>
      <c r="S485" s="6"/>
      <c r="T485" s="10"/>
      <c r="U485" s="6"/>
    </row>
    <row r="486" spans="1:21" s="8" customFormat="1" ht="15" customHeight="1" x14ac:dyDescent="0.2">
      <c r="A486" s="63" t="s">
        <v>211</v>
      </c>
      <c r="B486" s="66">
        <v>-1</v>
      </c>
      <c r="C486" s="60" t="s">
        <v>212</v>
      </c>
      <c r="D486" s="60" t="s">
        <v>11</v>
      </c>
      <c r="E486" s="60" t="s">
        <v>12</v>
      </c>
      <c r="F486" s="60"/>
      <c r="G486" s="60" t="s">
        <v>20</v>
      </c>
      <c r="H486" s="63" t="s">
        <v>2</v>
      </c>
      <c r="I486" s="60"/>
      <c r="L486" s="9"/>
      <c r="M486" s="9"/>
      <c r="N486" s="9"/>
      <c r="O486" s="9"/>
      <c r="P486" s="9"/>
      <c r="Q486" s="9"/>
    </row>
    <row r="487" spans="1:21" s="8" customFormat="1" ht="15.5" customHeight="1" x14ac:dyDescent="0.2">
      <c r="A487" s="63" t="s">
        <v>81</v>
      </c>
      <c r="B487" s="66">
        <v>-20421</v>
      </c>
      <c r="C487" s="60" t="s">
        <v>81</v>
      </c>
      <c r="D487" s="60" t="s">
        <v>11</v>
      </c>
      <c r="E487" s="60" t="s">
        <v>13</v>
      </c>
      <c r="F487" s="60"/>
      <c r="G487" s="60" t="s">
        <v>23</v>
      </c>
      <c r="H487" s="60" t="s">
        <v>38</v>
      </c>
      <c r="I487" s="60"/>
      <c r="L487" s="12"/>
      <c r="M487" s="12"/>
      <c r="N487" s="12"/>
      <c r="O487" s="12"/>
      <c r="P487" s="12"/>
      <c r="Q487" s="12"/>
    </row>
    <row r="488" spans="1:21" s="8" customFormat="1" ht="15.5" customHeight="1" x14ac:dyDescent="0.2">
      <c r="A488" s="63" t="s">
        <v>126</v>
      </c>
      <c r="B488" s="66">
        <v>-13730</v>
      </c>
      <c r="C488" s="63" t="s">
        <v>126</v>
      </c>
      <c r="D488" s="60" t="s">
        <v>41</v>
      </c>
      <c r="E488" s="60" t="s">
        <v>13</v>
      </c>
      <c r="F488" s="60"/>
      <c r="G488" s="60" t="s">
        <v>23</v>
      </c>
      <c r="H488" s="60" t="s">
        <v>38</v>
      </c>
      <c r="I488" s="60"/>
      <c r="L488" s="12"/>
      <c r="M488" s="12"/>
      <c r="N488" s="12"/>
      <c r="O488" s="12"/>
      <c r="P488" s="12"/>
      <c r="Q488" s="12"/>
    </row>
    <row r="489" spans="1:21" s="8" customFormat="1" ht="15.5" customHeight="1" x14ac:dyDescent="0.2">
      <c r="A489" s="60" t="s">
        <v>82</v>
      </c>
      <c r="B489" s="66">
        <v>-401</v>
      </c>
      <c r="C489" s="60" t="s">
        <v>82</v>
      </c>
      <c r="D489" s="60" t="s">
        <v>11</v>
      </c>
      <c r="E489" s="60" t="s">
        <v>13</v>
      </c>
      <c r="F489" s="60"/>
      <c r="G489" s="60" t="s">
        <v>23</v>
      </c>
      <c r="H489" s="60" t="s">
        <v>38</v>
      </c>
      <c r="I489" s="60"/>
      <c r="L489" s="12"/>
      <c r="M489" s="12"/>
      <c r="N489" s="12"/>
      <c r="O489" s="12"/>
      <c r="P489" s="12"/>
      <c r="Q489" s="12"/>
    </row>
    <row r="490" spans="1:21" s="8" customFormat="1" ht="15.5" customHeight="1" x14ac:dyDescent="0.2">
      <c r="A490" s="60" t="s">
        <v>127</v>
      </c>
      <c r="B490" s="66">
        <v>-32</v>
      </c>
      <c r="C490" s="60" t="s">
        <v>127</v>
      </c>
      <c r="D490" s="60" t="s">
        <v>41</v>
      </c>
      <c r="E490" s="60" t="s">
        <v>13</v>
      </c>
      <c r="F490" s="60"/>
      <c r="G490" s="60" t="s">
        <v>23</v>
      </c>
      <c r="H490" s="60" t="s">
        <v>38</v>
      </c>
      <c r="I490" s="60"/>
      <c r="L490" s="12"/>
      <c r="M490" s="12"/>
      <c r="N490" s="12"/>
      <c r="O490" s="12"/>
      <c r="P490" s="12"/>
      <c r="Q490" s="12"/>
    </row>
    <row r="491" spans="1:21" s="8" customFormat="1" ht="15.5" customHeight="1" x14ac:dyDescent="0.2">
      <c r="A491" s="60" t="s">
        <v>128</v>
      </c>
      <c r="B491" s="66">
        <v>-14</v>
      </c>
      <c r="C491" s="60" t="s">
        <v>128</v>
      </c>
      <c r="D491" s="60" t="s">
        <v>64</v>
      </c>
      <c r="E491" s="60" t="s">
        <v>13</v>
      </c>
      <c r="F491" s="60"/>
      <c r="G491" s="60" t="s">
        <v>23</v>
      </c>
      <c r="H491" s="60" t="s">
        <v>38</v>
      </c>
      <c r="I491" s="60"/>
      <c r="L491" s="12"/>
      <c r="M491" s="12"/>
      <c r="N491" s="12"/>
      <c r="O491" s="12"/>
      <c r="P491" s="12"/>
      <c r="Q491" s="12"/>
    </row>
    <row r="492" spans="1:21" s="8" customFormat="1" ht="15.5" customHeight="1" x14ac:dyDescent="0.2">
      <c r="A492" s="60" t="s">
        <v>129</v>
      </c>
      <c r="B492" s="66">
        <v>-8</v>
      </c>
      <c r="C492" s="60" t="s">
        <v>129</v>
      </c>
      <c r="D492" s="60" t="s">
        <v>64</v>
      </c>
      <c r="E492" s="60" t="s">
        <v>13</v>
      </c>
      <c r="F492" s="60"/>
      <c r="G492" s="60" t="s">
        <v>23</v>
      </c>
      <c r="H492" s="60" t="s">
        <v>38</v>
      </c>
      <c r="I492" s="60"/>
      <c r="L492" s="12"/>
      <c r="M492" s="12"/>
      <c r="N492" s="12"/>
      <c r="O492" s="12"/>
      <c r="P492" s="12"/>
      <c r="Q492" s="12"/>
    </row>
    <row r="493" spans="1:21" s="8" customFormat="1" ht="15.5" customHeight="1" x14ac:dyDescent="0.2">
      <c r="A493" s="60" t="s">
        <v>130</v>
      </c>
      <c r="B493" s="66">
        <v>-534</v>
      </c>
      <c r="C493" s="60" t="s">
        <v>130</v>
      </c>
      <c r="D493" s="60" t="s">
        <v>41</v>
      </c>
      <c r="E493" s="60" t="s">
        <v>13</v>
      </c>
      <c r="F493" s="60"/>
      <c r="G493" s="60" t="s">
        <v>23</v>
      </c>
      <c r="H493" s="60" t="s">
        <v>38</v>
      </c>
      <c r="I493" s="60"/>
      <c r="L493" s="12"/>
      <c r="M493" s="12"/>
      <c r="N493" s="12"/>
      <c r="O493" s="12"/>
      <c r="P493" s="12"/>
      <c r="Q493" s="12"/>
    </row>
    <row r="494" spans="1:21" s="8" customFormat="1" ht="15.5" customHeight="1" x14ac:dyDescent="0.2">
      <c r="A494" s="60" t="s">
        <v>131</v>
      </c>
      <c r="B494" s="66">
        <v>-3000</v>
      </c>
      <c r="C494" s="60" t="s">
        <v>131</v>
      </c>
      <c r="D494" s="60" t="s">
        <v>41</v>
      </c>
      <c r="E494" s="60" t="s">
        <v>13</v>
      </c>
      <c r="F494" s="60"/>
      <c r="G494" s="60" t="s">
        <v>23</v>
      </c>
      <c r="H494" s="60" t="s">
        <v>38</v>
      </c>
      <c r="I494" s="60"/>
      <c r="L494" s="12"/>
      <c r="M494" s="12"/>
      <c r="N494" s="12"/>
      <c r="O494" s="12"/>
      <c r="P494" s="12"/>
      <c r="Q494" s="12"/>
    </row>
    <row r="495" spans="1:21" s="8" customFormat="1" ht="15.5" customHeight="1" x14ac:dyDescent="0.2">
      <c r="A495" s="60" t="s">
        <v>83</v>
      </c>
      <c r="B495" s="66">
        <v>-429</v>
      </c>
      <c r="C495" s="60" t="s">
        <v>83</v>
      </c>
      <c r="D495" s="60" t="s">
        <v>11</v>
      </c>
      <c r="E495" s="60" t="s">
        <v>13</v>
      </c>
      <c r="F495" s="60"/>
      <c r="G495" s="60" t="s">
        <v>23</v>
      </c>
      <c r="H495" s="60" t="s">
        <v>38</v>
      </c>
      <c r="I495" s="60"/>
      <c r="L495" s="12"/>
      <c r="M495" s="12"/>
      <c r="N495" s="12"/>
      <c r="O495" s="12"/>
      <c r="P495" s="12"/>
      <c r="Q495" s="12"/>
    </row>
    <row r="496" spans="1:21" s="8" customFormat="1" ht="15.5" customHeight="1" x14ac:dyDescent="0.2">
      <c r="A496" s="60" t="s">
        <v>84</v>
      </c>
      <c r="B496" s="66">
        <v>-210</v>
      </c>
      <c r="C496" s="60" t="s">
        <v>84</v>
      </c>
      <c r="D496" s="60" t="s">
        <v>41</v>
      </c>
      <c r="E496" s="60" t="s">
        <v>13</v>
      </c>
      <c r="F496" s="60"/>
      <c r="G496" s="60" t="s">
        <v>23</v>
      </c>
      <c r="H496" s="60" t="s">
        <v>38</v>
      </c>
      <c r="I496" s="60"/>
      <c r="L496" s="12"/>
      <c r="M496" s="12"/>
      <c r="N496" s="12"/>
      <c r="O496" s="12"/>
      <c r="P496" s="12"/>
      <c r="Q496" s="12"/>
    </row>
    <row r="497" spans="1:17" s="8" customFormat="1" ht="15.5" customHeight="1" x14ac:dyDescent="0.2">
      <c r="A497" s="60" t="s">
        <v>132</v>
      </c>
      <c r="B497" s="66">
        <v>-5600</v>
      </c>
      <c r="C497" s="60" t="s">
        <v>132</v>
      </c>
      <c r="D497" s="60" t="s">
        <v>41</v>
      </c>
      <c r="E497" s="60" t="s">
        <v>13</v>
      </c>
      <c r="F497" s="60"/>
      <c r="G497" s="60" t="s">
        <v>23</v>
      </c>
      <c r="H497" s="60" t="s">
        <v>38</v>
      </c>
      <c r="I497" s="60"/>
      <c r="L497" s="12"/>
      <c r="M497" s="12"/>
      <c r="N497" s="12"/>
      <c r="O497" s="12"/>
      <c r="P497" s="12"/>
      <c r="Q497" s="12"/>
    </row>
    <row r="498" spans="1:17" s="8" customFormat="1" ht="15" customHeight="1" x14ac:dyDescent="0.2">
      <c r="B498" s="9"/>
      <c r="L498" s="9"/>
      <c r="M498" s="9"/>
      <c r="N498" s="9"/>
      <c r="O498" s="9"/>
      <c r="P498" s="9"/>
      <c r="Q498" s="9"/>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B10" sqref="B10"/>
    </sheetView>
  </sheetViews>
  <sheetFormatPr baseColWidth="10" defaultColWidth="11.5" defaultRowHeight="15" x14ac:dyDescent="0.2"/>
  <cols>
    <col min="1" max="1" width="23.83203125" bestFit="1" customWidth="1"/>
    <col min="2" max="3" width="9.1640625" bestFit="1" customWidth="1"/>
    <col min="4" max="4" width="7.1640625" bestFit="1" customWidth="1"/>
    <col min="5" max="5" width="13" customWidth="1"/>
    <col min="6" max="6" width="18.33203125" customWidth="1"/>
  </cols>
  <sheetData>
    <row r="1" spans="1:6" x14ac:dyDescent="0.2">
      <c r="A1" t="s">
        <v>258</v>
      </c>
    </row>
    <row r="2" spans="1:6" ht="15" customHeight="1" thickBot="1" x14ac:dyDescent="0.25"/>
    <row r="3" spans="1:6" ht="27" customHeight="1" thickBot="1" x14ac:dyDescent="0.25">
      <c r="A3" s="21"/>
      <c r="B3" s="22" t="s">
        <v>264</v>
      </c>
      <c r="C3" s="22" t="s">
        <v>265</v>
      </c>
      <c r="D3" s="22" t="s">
        <v>266</v>
      </c>
      <c r="E3" s="23" t="s">
        <v>267</v>
      </c>
      <c r="F3" s="22" t="s">
        <v>268</v>
      </c>
    </row>
    <row r="4" spans="1:6" ht="15.5" customHeight="1" thickTop="1" thickBot="1" x14ac:dyDescent="0.25">
      <c r="A4" s="27" t="s">
        <v>269</v>
      </c>
      <c r="B4" s="25" t="s">
        <v>270</v>
      </c>
      <c r="C4" s="24" t="s">
        <v>271</v>
      </c>
      <c r="D4" s="93" t="s">
        <v>272</v>
      </c>
      <c r="E4" s="94"/>
      <c r="F4" s="25" t="s">
        <v>273</v>
      </c>
    </row>
    <row r="5" spans="1:6" ht="66.5" customHeight="1" thickBot="1" x14ac:dyDescent="0.25">
      <c r="A5" s="32" t="s">
        <v>274</v>
      </c>
      <c r="B5" s="25">
        <v>7</v>
      </c>
      <c r="C5" s="24">
        <v>5.5</v>
      </c>
      <c r="D5" s="88">
        <v>2.5</v>
      </c>
      <c r="E5" s="89"/>
      <c r="F5" s="24" t="s">
        <v>275</v>
      </c>
    </row>
    <row r="6" spans="1:6" ht="27" customHeight="1" thickBot="1" x14ac:dyDescent="0.25">
      <c r="A6" s="32" t="s">
        <v>276</v>
      </c>
      <c r="B6" s="90" t="s">
        <v>277</v>
      </c>
      <c r="C6" s="91"/>
      <c r="D6" s="91"/>
      <c r="E6" s="89"/>
      <c r="F6" s="26" t="s">
        <v>278</v>
      </c>
    </row>
    <row r="7" spans="1:6" ht="15" customHeight="1" thickBot="1" x14ac:dyDescent="0.25">
      <c r="A7" s="32" t="s">
        <v>279</v>
      </c>
      <c r="B7" s="25">
        <v>27.5</v>
      </c>
      <c r="C7" s="24">
        <v>20</v>
      </c>
      <c r="D7" s="88">
        <v>20</v>
      </c>
      <c r="E7" s="89"/>
      <c r="F7" s="24" t="s">
        <v>273</v>
      </c>
    </row>
    <row r="8" spans="1:6" ht="40.25" customHeight="1" thickBot="1" x14ac:dyDescent="0.25">
      <c r="A8" s="32" t="s">
        <v>280</v>
      </c>
      <c r="B8" s="25">
        <v>3</v>
      </c>
      <c r="C8" s="24">
        <v>3</v>
      </c>
      <c r="D8" s="88">
        <v>7</v>
      </c>
      <c r="E8" s="89"/>
      <c r="F8" s="24" t="s">
        <v>281</v>
      </c>
    </row>
    <row r="9" spans="1:6" ht="29.5" customHeight="1" thickBot="1" x14ac:dyDescent="0.25">
      <c r="A9" s="32" t="s">
        <v>282</v>
      </c>
      <c r="B9" s="90" t="s">
        <v>283</v>
      </c>
      <c r="C9" s="91"/>
      <c r="D9" s="91"/>
      <c r="E9" s="89"/>
      <c r="F9" s="26" t="s">
        <v>284</v>
      </c>
    </row>
    <row r="10" spans="1:6" ht="66.5" customHeight="1" thickBot="1" x14ac:dyDescent="0.25">
      <c r="A10" s="32" t="s">
        <v>285</v>
      </c>
      <c r="B10" s="25">
        <v>51.8</v>
      </c>
      <c r="C10" s="25">
        <v>54</v>
      </c>
      <c r="D10" s="25">
        <v>42.3</v>
      </c>
      <c r="E10" s="26">
        <v>39</v>
      </c>
      <c r="F10" s="24" t="s">
        <v>286</v>
      </c>
    </row>
    <row r="11" spans="1:6" ht="29.5" customHeight="1" thickBot="1" x14ac:dyDescent="0.25">
      <c r="A11" s="32" t="s">
        <v>287</v>
      </c>
      <c r="B11" s="28">
        <v>0.64500000000000002</v>
      </c>
      <c r="C11" s="28">
        <v>0.61699999999999999</v>
      </c>
      <c r="D11" s="28">
        <v>0.78700000000000003</v>
      </c>
      <c r="E11" s="29">
        <v>0.85</v>
      </c>
      <c r="F11" s="24" t="s">
        <v>288</v>
      </c>
    </row>
    <row r="12" spans="1:6" ht="40.25" customHeight="1" thickBot="1" x14ac:dyDescent="0.25">
      <c r="A12" s="32" t="s">
        <v>289</v>
      </c>
      <c r="B12" s="25"/>
      <c r="C12" s="30"/>
      <c r="D12" s="25"/>
      <c r="E12" s="26">
        <v>16</v>
      </c>
      <c r="F12" s="24" t="s">
        <v>290</v>
      </c>
    </row>
    <row r="13" spans="1:6" ht="16.25" customHeight="1" thickBot="1" x14ac:dyDescent="0.25">
      <c r="A13" s="32" t="s">
        <v>291</v>
      </c>
      <c r="B13" s="25">
        <v>19.36</v>
      </c>
      <c r="C13" s="30">
        <v>18.52</v>
      </c>
      <c r="D13" s="90">
        <v>23.6</v>
      </c>
      <c r="E13" s="89"/>
      <c r="F13" s="24" t="s">
        <v>288</v>
      </c>
    </row>
    <row r="14" spans="1:6" ht="16.25" customHeight="1" thickBot="1" x14ac:dyDescent="0.25">
      <c r="A14" s="32" t="s">
        <v>292</v>
      </c>
      <c r="B14" s="25">
        <v>3.7000000000000002E-3</v>
      </c>
      <c r="C14" s="31"/>
      <c r="D14" s="92"/>
      <c r="E14" s="89"/>
      <c r="F14" s="26" t="s">
        <v>293</v>
      </c>
    </row>
    <row r="15" spans="1:6" ht="27" customHeight="1" thickBot="1" x14ac:dyDescent="0.25">
      <c r="A15" s="32" t="s">
        <v>294</v>
      </c>
      <c r="B15" s="25" t="s">
        <v>295</v>
      </c>
      <c r="C15" s="25" t="s">
        <v>296</v>
      </c>
      <c r="D15" s="90" t="s">
        <v>297</v>
      </c>
      <c r="E15" s="89"/>
      <c r="F15" s="24" t="s">
        <v>298</v>
      </c>
    </row>
    <row r="16" spans="1:6" ht="15" customHeight="1" thickBot="1" x14ac:dyDescent="0.25">
      <c r="A16" s="32" t="s">
        <v>299</v>
      </c>
      <c r="B16" s="25" t="s">
        <v>300</v>
      </c>
      <c r="C16" s="25" t="s">
        <v>301</v>
      </c>
      <c r="D16" s="90" t="s">
        <v>302</v>
      </c>
      <c r="E16" s="89"/>
      <c r="F16" s="24" t="s">
        <v>273</v>
      </c>
    </row>
    <row r="17" spans="1:6" ht="106.25" customHeight="1" thickBot="1" x14ac:dyDescent="0.25">
      <c r="A17" s="32" t="s">
        <v>303</v>
      </c>
      <c r="B17" s="25">
        <v>4259200</v>
      </c>
      <c r="C17" s="25">
        <v>2963200</v>
      </c>
      <c r="D17" s="95">
        <v>3776000</v>
      </c>
      <c r="E17" s="89"/>
      <c r="F17" s="26" t="s">
        <v>304</v>
      </c>
    </row>
  </sheetData>
  <mergeCells count="11">
    <mergeCell ref="B6:E6"/>
    <mergeCell ref="D5:E5"/>
    <mergeCell ref="D14:E14"/>
    <mergeCell ref="D4:E4"/>
    <mergeCell ref="D17:E17"/>
    <mergeCell ref="D8:E8"/>
    <mergeCell ref="D16:E16"/>
    <mergeCell ref="B9:E9"/>
    <mergeCell ref="D7:E7"/>
    <mergeCell ref="D15:E15"/>
    <mergeCell ref="D13:E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04"/>
  <sheetViews>
    <sheetView zoomScaleNormal="100" workbookViewId="0"/>
  </sheetViews>
  <sheetFormatPr baseColWidth="10" defaultColWidth="11.5" defaultRowHeight="15" x14ac:dyDescent="0.2"/>
  <cols>
    <col min="1" max="1" width="32.5" bestFit="1" customWidth="1"/>
    <col min="2" max="2" width="29.5" bestFit="1" customWidth="1"/>
    <col min="3" max="3" width="11" bestFit="1" customWidth="1"/>
    <col min="4" max="4" width="12.33203125" customWidth="1"/>
    <col min="5" max="5" width="8" customWidth="1"/>
    <col min="6" max="6" width="13" customWidth="1"/>
    <col min="7" max="7" width="12.33203125" customWidth="1"/>
    <col min="8" max="8" width="10" bestFit="1" customWidth="1"/>
    <col min="9" max="9" width="13.33203125" customWidth="1"/>
    <col min="10" max="10" width="9" bestFit="1" customWidth="1"/>
    <col min="11" max="11" width="9.5" bestFit="1" customWidth="1"/>
    <col min="12" max="12" width="13.83203125" customWidth="1"/>
    <col min="13" max="13" width="13" customWidth="1"/>
    <col min="14" max="15" width="13.83203125" customWidth="1"/>
    <col min="16" max="16" width="15" customWidth="1"/>
    <col min="17" max="17" width="10" bestFit="1" customWidth="1"/>
    <col min="18" max="18" width="10.6640625" bestFit="1" customWidth="1"/>
    <col min="20" max="21" width="9.1640625" bestFit="1" customWidth="1"/>
    <col min="22" max="22" width="14.6640625" customWidth="1"/>
    <col min="23" max="23" width="13.83203125" customWidth="1"/>
    <col min="24" max="24" width="14" customWidth="1"/>
    <col min="25" max="25" width="12.6640625" customWidth="1"/>
    <col min="27" max="28" width="9.6640625" bestFit="1" customWidth="1"/>
    <col min="31" max="31" width="9.5" bestFit="1" customWidth="1"/>
    <col min="32" max="33" width="9.6640625" bestFit="1" customWidth="1"/>
  </cols>
  <sheetData>
    <row r="1" spans="1:33" x14ac:dyDescent="0.2">
      <c r="A1" t="s">
        <v>258</v>
      </c>
    </row>
    <row r="3" spans="1:33" ht="78" customHeight="1" x14ac:dyDescent="0.2">
      <c r="A3" s="16" t="s">
        <v>305</v>
      </c>
      <c r="B3" s="16" t="s">
        <v>306</v>
      </c>
      <c r="C3" s="16" t="s">
        <v>307</v>
      </c>
      <c r="D3" s="16" t="s">
        <v>308</v>
      </c>
      <c r="E3" s="16" t="s">
        <v>309</v>
      </c>
      <c r="F3" s="16" t="s">
        <v>310</v>
      </c>
      <c r="G3" s="16" t="s">
        <v>311</v>
      </c>
      <c r="H3" s="16" t="s">
        <v>312</v>
      </c>
      <c r="I3" s="16" t="s">
        <v>313</v>
      </c>
      <c r="J3" s="16" t="s">
        <v>314</v>
      </c>
      <c r="K3" s="16" t="s">
        <v>315</v>
      </c>
      <c r="L3" s="16" t="s">
        <v>316</v>
      </c>
      <c r="M3" s="16" t="s">
        <v>317</v>
      </c>
      <c r="N3" s="16" t="s">
        <v>318</v>
      </c>
      <c r="O3" s="16" t="s">
        <v>319</v>
      </c>
      <c r="P3" s="16" t="s">
        <v>320</v>
      </c>
      <c r="Q3" s="16" t="s">
        <v>321</v>
      </c>
      <c r="R3" s="16" t="s">
        <v>322</v>
      </c>
      <c r="S3" s="16" t="s">
        <v>323</v>
      </c>
      <c r="T3" s="16" t="s">
        <v>324</v>
      </c>
      <c r="U3" s="16" t="s">
        <v>325</v>
      </c>
      <c r="V3" s="16" t="s">
        <v>326</v>
      </c>
      <c r="W3" s="16" t="s">
        <v>327</v>
      </c>
      <c r="X3" s="16" t="s">
        <v>328</v>
      </c>
      <c r="Y3" s="16" t="s">
        <v>329</v>
      </c>
      <c r="Z3" s="16" t="s">
        <v>330</v>
      </c>
      <c r="AA3" s="16" t="s">
        <v>331</v>
      </c>
      <c r="AB3" s="16" t="s">
        <v>332</v>
      </c>
      <c r="AC3" s="16" t="s">
        <v>333</v>
      </c>
      <c r="AD3" s="16" t="s">
        <v>334</v>
      </c>
      <c r="AE3" s="16" t="s">
        <v>335</v>
      </c>
      <c r="AF3" s="16" t="s">
        <v>336</v>
      </c>
      <c r="AG3" s="16" t="s">
        <v>337</v>
      </c>
    </row>
    <row r="4" spans="1:33" x14ac:dyDescent="0.2">
      <c r="A4" t="s">
        <v>338</v>
      </c>
      <c r="B4" t="s">
        <v>339</v>
      </c>
      <c r="C4" t="s">
        <v>340</v>
      </c>
      <c r="D4">
        <v>300</v>
      </c>
      <c r="E4">
        <v>1500</v>
      </c>
      <c r="F4">
        <v>1800</v>
      </c>
      <c r="G4">
        <v>616</v>
      </c>
      <c r="H4" t="s">
        <v>341</v>
      </c>
      <c r="I4" s="17"/>
      <c r="J4">
        <v>10</v>
      </c>
      <c r="K4" t="s">
        <v>342</v>
      </c>
      <c r="O4">
        <v>4.8499999999999996</v>
      </c>
      <c r="P4" s="18">
        <f>((1000*O4)/0.08924)/1000</f>
        <v>54.347826086956523</v>
      </c>
      <c r="Q4" s="18"/>
      <c r="R4" s="19"/>
      <c r="T4">
        <v>61.9</v>
      </c>
      <c r="V4">
        <v>5</v>
      </c>
      <c r="W4">
        <v>80</v>
      </c>
      <c r="X4">
        <v>0.1</v>
      </c>
      <c r="Y4">
        <v>80000</v>
      </c>
      <c r="AA4">
        <v>5.5</v>
      </c>
      <c r="AB4">
        <v>40</v>
      </c>
      <c r="AC4">
        <v>27.8</v>
      </c>
      <c r="AD4">
        <v>308.89999999999998</v>
      </c>
      <c r="AE4" t="s">
        <v>343</v>
      </c>
    </row>
    <row r="5" spans="1:33" x14ac:dyDescent="0.2">
      <c r="A5" t="s">
        <v>344</v>
      </c>
      <c r="B5" t="s">
        <v>345</v>
      </c>
      <c r="C5" t="s">
        <v>340</v>
      </c>
      <c r="F5">
        <v>2</v>
      </c>
      <c r="I5" s="17"/>
      <c r="O5">
        <v>5</v>
      </c>
      <c r="P5" s="18">
        <f>((1000*O5)/0.08924)/1000</f>
        <v>56.028686687584042</v>
      </c>
      <c r="Q5" s="18"/>
      <c r="R5" s="19"/>
      <c r="T5">
        <v>60</v>
      </c>
      <c r="V5">
        <v>20</v>
      </c>
      <c r="W5">
        <v>80</v>
      </c>
      <c r="X5">
        <v>0.1</v>
      </c>
      <c r="Y5">
        <v>40000</v>
      </c>
      <c r="AB5">
        <v>40</v>
      </c>
      <c r="AC5">
        <v>0.05</v>
      </c>
      <c r="AD5">
        <v>0.6</v>
      </c>
    </row>
    <row r="6" spans="1:33" x14ac:dyDescent="0.2">
      <c r="A6" t="s">
        <v>346</v>
      </c>
      <c r="B6" t="s">
        <v>347</v>
      </c>
      <c r="C6" t="s">
        <v>264</v>
      </c>
      <c r="F6">
        <v>2.4</v>
      </c>
      <c r="G6">
        <v>230</v>
      </c>
      <c r="H6" t="s">
        <v>348</v>
      </c>
      <c r="I6" s="17">
        <v>0.125</v>
      </c>
      <c r="J6">
        <v>3</v>
      </c>
      <c r="K6" t="s">
        <v>343</v>
      </c>
      <c r="M6">
        <v>5</v>
      </c>
      <c r="N6">
        <v>45</v>
      </c>
      <c r="O6">
        <v>4.8</v>
      </c>
      <c r="P6" s="18">
        <f>((1000*O6)/0.08924)/1000</f>
        <v>53.787539220080681</v>
      </c>
      <c r="Q6" s="18"/>
      <c r="R6" s="19"/>
      <c r="T6">
        <v>62.5</v>
      </c>
      <c r="V6">
        <v>20</v>
      </c>
      <c r="W6">
        <v>55</v>
      </c>
      <c r="X6">
        <v>20</v>
      </c>
      <c r="Y6">
        <v>30000</v>
      </c>
      <c r="AA6">
        <v>3</v>
      </c>
      <c r="AB6">
        <v>35</v>
      </c>
      <c r="AC6">
        <v>0.45</v>
      </c>
      <c r="AD6">
        <v>5</v>
      </c>
      <c r="AE6" t="s">
        <v>343</v>
      </c>
    </row>
    <row r="7" spans="1:33" x14ac:dyDescent="0.2">
      <c r="A7" t="s">
        <v>349</v>
      </c>
      <c r="B7" t="s">
        <v>350</v>
      </c>
      <c r="C7" t="s">
        <v>264</v>
      </c>
      <c r="F7">
        <v>3</v>
      </c>
      <c r="I7" s="17"/>
      <c r="R7" s="19"/>
      <c r="AB7">
        <v>1</v>
      </c>
      <c r="AC7">
        <v>0.04</v>
      </c>
      <c r="AD7">
        <v>0.4</v>
      </c>
      <c r="AE7" t="s">
        <v>343</v>
      </c>
    </row>
    <row r="8" spans="1:33" x14ac:dyDescent="0.2">
      <c r="A8" t="s">
        <v>351</v>
      </c>
      <c r="B8" t="s">
        <v>352</v>
      </c>
      <c r="C8" t="s">
        <v>340</v>
      </c>
      <c r="D8">
        <v>1</v>
      </c>
      <c r="E8">
        <v>6</v>
      </c>
      <c r="F8">
        <v>7</v>
      </c>
      <c r="G8">
        <v>400</v>
      </c>
      <c r="H8" t="s">
        <v>348</v>
      </c>
      <c r="I8" s="17">
        <v>0.42857142857142849</v>
      </c>
      <c r="J8">
        <v>40</v>
      </c>
      <c r="K8" t="s">
        <v>342</v>
      </c>
      <c r="L8">
        <v>8500</v>
      </c>
      <c r="M8">
        <v>5</v>
      </c>
      <c r="N8">
        <v>35</v>
      </c>
      <c r="R8" s="19"/>
      <c r="V8">
        <v>20</v>
      </c>
      <c r="W8">
        <v>65</v>
      </c>
      <c r="X8">
        <v>0.1</v>
      </c>
      <c r="Y8">
        <v>35000</v>
      </c>
      <c r="AA8">
        <v>3</v>
      </c>
      <c r="AB8">
        <v>20</v>
      </c>
      <c r="AC8">
        <v>0.1</v>
      </c>
      <c r="AD8">
        <v>1.1000000000000001</v>
      </c>
      <c r="AE8" t="s">
        <v>343</v>
      </c>
    </row>
    <row r="9" spans="1:33" x14ac:dyDescent="0.2">
      <c r="A9" t="s">
        <v>349</v>
      </c>
      <c r="B9" t="s">
        <v>353</v>
      </c>
      <c r="C9" t="s">
        <v>264</v>
      </c>
      <c r="D9">
        <v>6</v>
      </c>
      <c r="F9">
        <v>9</v>
      </c>
      <c r="I9" s="17"/>
      <c r="R9" s="19"/>
      <c r="AB9">
        <v>2.5</v>
      </c>
      <c r="AC9">
        <v>0.14000000000000001</v>
      </c>
      <c r="AD9">
        <v>1.6</v>
      </c>
      <c r="AE9" t="s">
        <v>343</v>
      </c>
    </row>
    <row r="10" spans="1:33" x14ac:dyDescent="0.2">
      <c r="A10" t="s">
        <v>354</v>
      </c>
      <c r="B10" t="s">
        <v>355</v>
      </c>
      <c r="C10" t="s">
        <v>264</v>
      </c>
      <c r="D10">
        <v>1</v>
      </c>
      <c r="E10">
        <v>10</v>
      </c>
      <c r="F10">
        <v>10</v>
      </c>
      <c r="G10">
        <v>400</v>
      </c>
      <c r="H10" t="s">
        <v>356</v>
      </c>
      <c r="I10" s="17">
        <v>0.1</v>
      </c>
      <c r="J10">
        <v>3</v>
      </c>
      <c r="K10" t="s">
        <v>343</v>
      </c>
      <c r="L10">
        <v>8700</v>
      </c>
      <c r="M10">
        <v>5</v>
      </c>
      <c r="N10">
        <v>40</v>
      </c>
      <c r="O10">
        <v>4.8</v>
      </c>
      <c r="P10" s="18">
        <f>((1000*O10)/0.08924)/1000</f>
        <v>53.787539220080681</v>
      </c>
      <c r="Q10" s="18"/>
      <c r="R10" s="19">
        <v>0.2</v>
      </c>
      <c r="T10">
        <v>62.5</v>
      </c>
      <c r="U10">
        <v>92.5</v>
      </c>
      <c r="V10">
        <v>20</v>
      </c>
      <c r="W10">
        <v>55</v>
      </c>
      <c r="X10">
        <v>2</v>
      </c>
      <c r="Y10">
        <v>35000</v>
      </c>
      <c r="Z10">
        <v>8760</v>
      </c>
      <c r="AA10">
        <v>3</v>
      </c>
      <c r="AB10">
        <v>35</v>
      </c>
      <c r="AC10">
        <v>0.18</v>
      </c>
      <c r="AD10">
        <v>2</v>
      </c>
      <c r="AE10" t="s">
        <v>343</v>
      </c>
      <c r="AF10">
        <v>5</v>
      </c>
      <c r="AG10">
        <v>35</v>
      </c>
    </row>
    <row r="11" spans="1:33" x14ac:dyDescent="0.2">
      <c r="A11" t="s">
        <v>354</v>
      </c>
      <c r="B11" t="s">
        <v>357</v>
      </c>
      <c r="C11" t="s">
        <v>264</v>
      </c>
      <c r="D11">
        <v>1</v>
      </c>
      <c r="E11">
        <v>10</v>
      </c>
      <c r="F11">
        <v>10</v>
      </c>
      <c r="G11">
        <v>400</v>
      </c>
      <c r="H11" t="s">
        <v>356</v>
      </c>
      <c r="I11" s="17">
        <v>0.1</v>
      </c>
      <c r="J11">
        <v>3</v>
      </c>
      <c r="K11" t="s">
        <v>343</v>
      </c>
      <c r="L11">
        <v>8700</v>
      </c>
      <c r="M11">
        <v>-25</v>
      </c>
      <c r="N11">
        <v>40</v>
      </c>
      <c r="O11">
        <v>4.8</v>
      </c>
      <c r="P11" s="18">
        <f>((1000*O11)/0.08924)/1000</f>
        <v>53.787539220080681</v>
      </c>
      <c r="Q11" s="18"/>
      <c r="R11" s="19">
        <v>0.2</v>
      </c>
      <c r="T11">
        <v>62.5</v>
      </c>
      <c r="U11">
        <v>92.5</v>
      </c>
      <c r="V11">
        <v>20</v>
      </c>
      <c r="W11">
        <v>55</v>
      </c>
      <c r="X11">
        <v>2</v>
      </c>
      <c r="Y11">
        <v>35000</v>
      </c>
      <c r="Z11">
        <v>8760</v>
      </c>
      <c r="AA11">
        <v>3</v>
      </c>
      <c r="AB11">
        <v>35</v>
      </c>
      <c r="AC11">
        <v>0.18</v>
      </c>
      <c r="AD11">
        <v>2</v>
      </c>
      <c r="AE11" t="s">
        <v>343</v>
      </c>
      <c r="AF11">
        <v>5</v>
      </c>
      <c r="AG11">
        <v>35</v>
      </c>
    </row>
    <row r="12" spans="1:33" x14ac:dyDescent="0.2">
      <c r="A12" t="s">
        <v>344</v>
      </c>
      <c r="B12" t="s">
        <v>358</v>
      </c>
      <c r="C12" t="s">
        <v>340</v>
      </c>
      <c r="F12">
        <v>13</v>
      </c>
      <c r="I12" s="17"/>
      <c r="O12">
        <v>5</v>
      </c>
      <c r="P12" s="18">
        <f>((1000*O12)/0.08924)/1000</f>
        <v>56.028686687584042</v>
      </c>
      <c r="Q12" s="18"/>
      <c r="R12" s="19"/>
      <c r="T12">
        <v>60</v>
      </c>
      <c r="V12">
        <v>20</v>
      </c>
      <c r="W12">
        <v>80</v>
      </c>
      <c r="X12">
        <v>0.1</v>
      </c>
      <c r="Y12">
        <v>40000</v>
      </c>
      <c r="AB12">
        <v>40</v>
      </c>
      <c r="AC12">
        <v>0.23</v>
      </c>
      <c r="AD12">
        <v>2.5</v>
      </c>
    </row>
    <row r="13" spans="1:33" x14ac:dyDescent="0.2">
      <c r="A13" t="s">
        <v>351</v>
      </c>
      <c r="B13" t="s">
        <v>359</v>
      </c>
      <c r="C13" t="s">
        <v>340</v>
      </c>
      <c r="D13">
        <v>1</v>
      </c>
      <c r="E13">
        <v>11</v>
      </c>
      <c r="F13">
        <v>14</v>
      </c>
      <c r="G13">
        <v>400</v>
      </c>
      <c r="H13" t="s">
        <v>348</v>
      </c>
      <c r="I13" s="17">
        <v>0.2142857142857143</v>
      </c>
      <c r="J13">
        <v>40</v>
      </c>
      <c r="K13" t="s">
        <v>342</v>
      </c>
      <c r="L13">
        <v>8500</v>
      </c>
      <c r="M13">
        <v>5</v>
      </c>
      <c r="N13">
        <v>35</v>
      </c>
      <c r="R13" s="19"/>
      <c r="V13">
        <v>20</v>
      </c>
      <c r="W13">
        <v>65</v>
      </c>
      <c r="X13">
        <v>0.1</v>
      </c>
      <c r="Y13">
        <v>35000</v>
      </c>
      <c r="AA13">
        <v>3</v>
      </c>
      <c r="AB13">
        <v>20</v>
      </c>
      <c r="AC13">
        <v>0.2</v>
      </c>
      <c r="AD13">
        <v>2.2000000000000002</v>
      </c>
      <c r="AE13" t="s">
        <v>343</v>
      </c>
    </row>
    <row r="14" spans="1:33" x14ac:dyDescent="0.2">
      <c r="A14" t="s">
        <v>351</v>
      </c>
      <c r="B14" t="s">
        <v>360</v>
      </c>
      <c r="C14" t="s">
        <v>340</v>
      </c>
      <c r="D14">
        <v>1</v>
      </c>
      <c r="E14">
        <v>17</v>
      </c>
      <c r="F14">
        <v>20</v>
      </c>
      <c r="G14">
        <v>400</v>
      </c>
      <c r="H14" t="s">
        <v>348</v>
      </c>
      <c r="I14" s="17">
        <v>0.15</v>
      </c>
      <c r="J14">
        <v>40</v>
      </c>
      <c r="K14" t="s">
        <v>342</v>
      </c>
      <c r="L14">
        <v>8500</v>
      </c>
      <c r="M14">
        <v>5</v>
      </c>
      <c r="N14">
        <v>35</v>
      </c>
      <c r="R14" s="19"/>
      <c r="V14">
        <v>20</v>
      </c>
      <c r="W14">
        <v>65</v>
      </c>
      <c r="X14">
        <v>0.1</v>
      </c>
      <c r="Y14">
        <v>35000</v>
      </c>
      <c r="AA14">
        <v>3</v>
      </c>
      <c r="AB14">
        <v>20</v>
      </c>
      <c r="AC14">
        <v>0.3</v>
      </c>
      <c r="AD14">
        <v>3.3</v>
      </c>
      <c r="AE14" t="s">
        <v>343</v>
      </c>
    </row>
    <row r="15" spans="1:33" x14ac:dyDescent="0.2">
      <c r="A15" t="s">
        <v>354</v>
      </c>
      <c r="B15" t="s">
        <v>361</v>
      </c>
      <c r="C15" t="s">
        <v>264</v>
      </c>
      <c r="D15">
        <v>1</v>
      </c>
      <c r="E15">
        <v>22</v>
      </c>
      <c r="F15">
        <v>22</v>
      </c>
      <c r="G15">
        <v>400</v>
      </c>
      <c r="H15" t="s">
        <v>356</v>
      </c>
      <c r="I15" s="17">
        <v>9.0909090909090912E-2</v>
      </c>
      <c r="J15">
        <v>3</v>
      </c>
      <c r="K15" t="s">
        <v>343</v>
      </c>
      <c r="L15">
        <v>8700</v>
      </c>
      <c r="M15">
        <v>5</v>
      </c>
      <c r="N15">
        <v>45</v>
      </c>
      <c r="O15">
        <v>4.8</v>
      </c>
      <c r="P15" s="18">
        <f>((1000*O15)/0.08924)/1000</f>
        <v>53.787539220080681</v>
      </c>
      <c r="Q15" s="18"/>
      <c r="R15" s="19">
        <v>0.22727272727272729</v>
      </c>
      <c r="T15">
        <v>62.5</v>
      </c>
      <c r="U15">
        <v>92.5</v>
      </c>
      <c r="V15">
        <v>20</v>
      </c>
      <c r="W15">
        <v>55</v>
      </c>
      <c r="X15">
        <v>2</v>
      </c>
      <c r="Y15">
        <v>35000</v>
      </c>
      <c r="Z15">
        <v>8760</v>
      </c>
      <c r="AA15">
        <v>3</v>
      </c>
      <c r="AB15">
        <v>35</v>
      </c>
      <c r="AC15">
        <v>0.4</v>
      </c>
      <c r="AD15">
        <v>4.4000000000000004</v>
      </c>
      <c r="AE15" t="s">
        <v>343</v>
      </c>
      <c r="AF15">
        <v>5</v>
      </c>
      <c r="AG15">
        <v>35</v>
      </c>
    </row>
    <row r="16" spans="1:33" x14ac:dyDescent="0.2">
      <c r="A16" t="s">
        <v>354</v>
      </c>
      <c r="B16" t="s">
        <v>362</v>
      </c>
      <c r="C16" t="s">
        <v>264</v>
      </c>
      <c r="D16">
        <v>1</v>
      </c>
      <c r="E16">
        <v>22</v>
      </c>
      <c r="F16">
        <v>22</v>
      </c>
      <c r="G16">
        <v>400</v>
      </c>
      <c r="H16" t="s">
        <v>356</v>
      </c>
      <c r="I16" s="17">
        <v>9.0909090909090912E-2</v>
      </c>
      <c r="J16">
        <v>3</v>
      </c>
      <c r="K16" t="s">
        <v>343</v>
      </c>
      <c r="L16">
        <v>8700</v>
      </c>
      <c r="M16">
        <v>-25</v>
      </c>
      <c r="N16">
        <v>40</v>
      </c>
      <c r="O16">
        <v>4.8</v>
      </c>
      <c r="P16" s="18">
        <f>((1000*O16)/0.08924)/1000</f>
        <v>53.787539220080681</v>
      </c>
      <c r="Q16" s="18"/>
      <c r="R16" s="19">
        <v>0.22727272727272729</v>
      </c>
      <c r="T16">
        <v>62.5</v>
      </c>
      <c r="U16">
        <v>92.5</v>
      </c>
      <c r="V16">
        <v>20</v>
      </c>
      <c r="W16">
        <v>55</v>
      </c>
      <c r="X16">
        <v>2</v>
      </c>
      <c r="Y16">
        <v>35000</v>
      </c>
      <c r="Z16">
        <v>8760</v>
      </c>
      <c r="AA16">
        <v>3</v>
      </c>
      <c r="AB16">
        <v>35</v>
      </c>
      <c r="AC16">
        <v>0.4</v>
      </c>
      <c r="AD16">
        <v>4.4000000000000004</v>
      </c>
      <c r="AE16" t="s">
        <v>343</v>
      </c>
      <c r="AF16">
        <v>5</v>
      </c>
      <c r="AG16">
        <v>35</v>
      </c>
    </row>
    <row r="17" spans="1:33" x14ac:dyDescent="0.2">
      <c r="A17" t="s">
        <v>349</v>
      </c>
      <c r="B17" t="s">
        <v>363</v>
      </c>
      <c r="C17" t="s">
        <v>264</v>
      </c>
      <c r="D17">
        <v>14</v>
      </c>
      <c r="F17">
        <v>26</v>
      </c>
      <c r="I17" s="17"/>
      <c r="R17" s="19"/>
      <c r="AB17">
        <v>2.5</v>
      </c>
      <c r="AC17">
        <v>0.4</v>
      </c>
      <c r="AD17">
        <v>4.4000000000000004</v>
      </c>
      <c r="AE17" t="s">
        <v>343</v>
      </c>
    </row>
    <row r="18" spans="1:33" x14ac:dyDescent="0.2">
      <c r="A18" t="s">
        <v>351</v>
      </c>
      <c r="B18" t="s">
        <v>364</v>
      </c>
      <c r="C18" t="s">
        <v>340</v>
      </c>
      <c r="D18">
        <v>1</v>
      </c>
      <c r="E18">
        <v>22</v>
      </c>
      <c r="F18">
        <v>27</v>
      </c>
      <c r="G18">
        <v>400</v>
      </c>
      <c r="H18" t="s">
        <v>348</v>
      </c>
      <c r="I18" s="17">
        <v>0.1111111111111111</v>
      </c>
      <c r="J18">
        <v>40</v>
      </c>
      <c r="K18" t="s">
        <v>342</v>
      </c>
      <c r="L18">
        <v>8500</v>
      </c>
      <c r="M18">
        <v>5</v>
      </c>
      <c r="N18">
        <v>35</v>
      </c>
      <c r="R18" s="19"/>
      <c r="V18">
        <v>20</v>
      </c>
      <c r="W18">
        <v>65</v>
      </c>
      <c r="X18">
        <v>0.1</v>
      </c>
      <c r="Y18">
        <v>35000</v>
      </c>
      <c r="AA18">
        <v>3</v>
      </c>
      <c r="AB18">
        <v>20</v>
      </c>
      <c r="AC18">
        <v>0.4</v>
      </c>
      <c r="AD18">
        <v>4.4000000000000004</v>
      </c>
      <c r="AE18" t="s">
        <v>343</v>
      </c>
    </row>
    <row r="19" spans="1:33" x14ac:dyDescent="0.2">
      <c r="A19" t="s">
        <v>365</v>
      </c>
      <c r="B19" t="s">
        <v>366</v>
      </c>
      <c r="C19" t="s">
        <v>340</v>
      </c>
      <c r="D19">
        <v>3</v>
      </c>
      <c r="E19">
        <v>25</v>
      </c>
      <c r="F19">
        <v>28</v>
      </c>
      <c r="G19">
        <v>400</v>
      </c>
      <c r="H19" t="s">
        <v>348</v>
      </c>
      <c r="I19" s="17">
        <v>0.5357142857142857</v>
      </c>
      <c r="J19">
        <v>1</v>
      </c>
      <c r="K19" t="s">
        <v>342</v>
      </c>
      <c r="L19">
        <v>8410</v>
      </c>
      <c r="M19">
        <v>-20</v>
      </c>
      <c r="N19">
        <v>40</v>
      </c>
      <c r="O19">
        <v>4.9000000000000004</v>
      </c>
      <c r="P19" s="18">
        <f>((1000*O19)/0.08924)/1000</f>
        <v>54.908112953832365</v>
      </c>
      <c r="Q19" s="18"/>
      <c r="R19" s="19"/>
      <c r="T19">
        <v>61.2</v>
      </c>
      <c r="V19">
        <v>20</v>
      </c>
      <c r="W19">
        <v>80</v>
      </c>
      <c r="X19">
        <v>1</v>
      </c>
      <c r="Y19">
        <v>50000</v>
      </c>
      <c r="AA19">
        <v>3.5</v>
      </c>
      <c r="AB19">
        <v>100</v>
      </c>
      <c r="AC19">
        <v>0.45</v>
      </c>
      <c r="AD19">
        <v>5</v>
      </c>
      <c r="AE19" t="s">
        <v>342</v>
      </c>
    </row>
    <row r="20" spans="1:33" x14ac:dyDescent="0.2">
      <c r="A20" t="s">
        <v>351</v>
      </c>
      <c r="B20" t="s">
        <v>367</v>
      </c>
      <c r="C20" t="s">
        <v>340</v>
      </c>
      <c r="D20">
        <v>1</v>
      </c>
      <c r="E20">
        <v>27</v>
      </c>
      <c r="F20">
        <v>33</v>
      </c>
      <c r="G20">
        <v>400</v>
      </c>
      <c r="H20" t="s">
        <v>348</v>
      </c>
      <c r="I20" s="17">
        <v>9.0909090909090912E-2</v>
      </c>
      <c r="J20">
        <v>40</v>
      </c>
      <c r="K20" t="s">
        <v>342</v>
      </c>
      <c r="L20">
        <v>8500</v>
      </c>
      <c r="M20">
        <v>5</v>
      </c>
      <c r="N20">
        <v>35</v>
      </c>
      <c r="R20" s="19"/>
      <c r="V20">
        <v>20</v>
      </c>
      <c r="W20">
        <v>65</v>
      </c>
      <c r="X20">
        <v>0.1</v>
      </c>
      <c r="Y20">
        <v>35000</v>
      </c>
      <c r="AA20">
        <v>3</v>
      </c>
      <c r="AB20">
        <v>20</v>
      </c>
      <c r="AC20">
        <v>0.5</v>
      </c>
      <c r="AD20">
        <v>5.6</v>
      </c>
      <c r="AE20" t="s">
        <v>343</v>
      </c>
    </row>
    <row r="21" spans="1:33" x14ac:dyDescent="0.2">
      <c r="A21" t="s">
        <v>344</v>
      </c>
      <c r="B21" t="s">
        <v>368</v>
      </c>
      <c r="C21" t="s">
        <v>340</v>
      </c>
      <c r="F21">
        <v>35</v>
      </c>
      <c r="I21" s="17"/>
      <c r="O21">
        <v>5</v>
      </c>
      <c r="P21" s="18">
        <f>((1000*O21)/0.08924)/1000</f>
        <v>56.028686687584042</v>
      </c>
      <c r="Q21" s="18"/>
      <c r="R21" s="19"/>
      <c r="T21">
        <v>60</v>
      </c>
      <c r="V21">
        <v>20</v>
      </c>
      <c r="W21">
        <v>80</v>
      </c>
      <c r="X21">
        <v>0.1</v>
      </c>
      <c r="Y21">
        <v>40000</v>
      </c>
      <c r="AB21">
        <v>40</v>
      </c>
      <c r="AC21">
        <v>0.63</v>
      </c>
      <c r="AD21">
        <v>6.9</v>
      </c>
    </row>
    <row r="22" spans="1:33" x14ac:dyDescent="0.2">
      <c r="A22" t="s">
        <v>354</v>
      </c>
      <c r="B22" t="s">
        <v>369</v>
      </c>
      <c r="C22" t="s">
        <v>264</v>
      </c>
      <c r="D22">
        <v>1</v>
      </c>
      <c r="E22">
        <v>43</v>
      </c>
      <c r="F22">
        <v>43</v>
      </c>
      <c r="G22">
        <v>400</v>
      </c>
      <c r="H22" t="s">
        <v>356</v>
      </c>
      <c r="I22" s="17">
        <v>9.3023255813953487E-2</v>
      </c>
      <c r="J22">
        <v>3</v>
      </c>
      <c r="K22" t="s">
        <v>343</v>
      </c>
      <c r="L22">
        <v>8700</v>
      </c>
      <c r="M22">
        <v>5</v>
      </c>
      <c r="N22">
        <v>45</v>
      </c>
      <c r="O22">
        <v>4.8</v>
      </c>
      <c r="P22" s="18">
        <f>((1000*O22)/0.08924)/1000</f>
        <v>53.787539220080681</v>
      </c>
      <c r="Q22" s="18"/>
      <c r="R22" s="19">
        <v>0.2558139534883721</v>
      </c>
      <c r="T22">
        <v>62.5</v>
      </c>
      <c r="U22">
        <v>92.5</v>
      </c>
      <c r="V22">
        <v>20</v>
      </c>
      <c r="W22">
        <v>55</v>
      </c>
      <c r="X22">
        <v>2</v>
      </c>
      <c r="Y22">
        <v>35000</v>
      </c>
      <c r="Z22">
        <v>8760</v>
      </c>
      <c r="AA22">
        <v>3</v>
      </c>
      <c r="AB22">
        <v>35</v>
      </c>
      <c r="AC22">
        <v>0.8</v>
      </c>
      <c r="AD22">
        <v>8.9</v>
      </c>
      <c r="AE22" t="s">
        <v>343</v>
      </c>
      <c r="AF22">
        <v>5</v>
      </c>
      <c r="AG22">
        <v>35</v>
      </c>
    </row>
    <row r="23" spans="1:33" x14ac:dyDescent="0.2">
      <c r="A23" t="s">
        <v>354</v>
      </c>
      <c r="B23" t="s">
        <v>370</v>
      </c>
      <c r="C23" t="s">
        <v>264</v>
      </c>
      <c r="D23">
        <v>1</v>
      </c>
      <c r="E23">
        <v>43</v>
      </c>
      <c r="F23">
        <v>43</v>
      </c>
      <c r="G23">
        <v>400</v>
      </c>
      <c r="H23" t="s">
        <v>356</v>
      </c>
      <c r="I23" s="17">
        <v>9.3023255813953487E-2</v>
      </c>
      <c r="J23">
        <v>3</v>
      </c>
      <c r="K23" t="s">
        <v>343</v>
      </c>
      <c r="L23">
        <v>8700</v>
      </c>
      <c r="M23">
        <v>-25</v>
      </c>
      <c r="N23">
        <v>40</v>
      </c>
      <c r="O23">
        <v>4.8</v>
      </c>
      <c r="P23" s="18">
        <f>((1000*O23)/0.08924)/1000</f>
        <v>53.787539220080681</v>
      </c>
      <c r="Q23" s="18"/>
      <c r="R23" s="19">
        <v>0.2558139534883721</v>
      </c>
      <c r="T23">
        <v>62.5</v>
      </c>
      <c r="U23">
        <v>92.5</v>
      </c>
      <c r="V23">
        <v>20</v>
      </c>
      <c r="W23">
        <v>55</v>
      </c>
      <c r="X23">
        <v>2</v>
      </c>
      <c r="Y23">
        <v>35000</v>
      </c>
      <c r="Z23">
        <v>8760</v>
      </c>
      <c r="AA23">
        <v>3</v>
      </c>
      <c r="AB23">
        <v>35</v>
      </c>
      <c r="AC23">
        <v>0.8</v>
      </c>
      <c r="AD23">
        <v>8.9</v>
      </c>
      <c r="AE23" t="s">
        <v>343</v>
      </c>
      <c r="AF23">
        <v>5</v>
      </c>
      <c r="AG23">
        <v>35</v>
      </c>
    </row>
    <row r="24" spans="1:33" x14ac:dyDescent="0.2">
      <c r="A24" t="s">
        <v>349</v>
      </c>
      <c r="B24" t="s">
        <v>371</v>
      </c>
      <c r="C24" t="s">
        <v>264</v>
      </c>
      <c r="F24">
        <v>50</v>
      </c>
      <c r="H24" t="s">
        <v>341</v>
      </c>
      <c r="I24" s="17"/>
      <c r="O24">
        <v>4.5</v>
      </c>
      <c r="P24" s="18">
        <f>((1000*O24)/0.08924)/1000</f>
        <v>50.425818018825638</v>
      </c>
      <c r="Q24" s="18"/>
      <c r="R24" s="19"/>
      <c r="T24">
        <v>66.7</v>
      </c>
      <c r="AB24">
        <v>30</v>
      </c>
      <c r="AC24">
        <v>0.9</v>
      </c>
      <c r="AD24">
        <v>10</v>
      </c>
    </row>
    <row r="25" spans="1:33" x14ac:dyDescent="0.2">
      <c r="A25" t="s">
        <v>372</v>
      </c>
      <c r="B25" t="s">
        <v>373</v>
      </c>
      <c r="C25" t="s">
        <v>340</v>
      </c>
      <c r="D25">
        <v>10</v>
      </c>
      <c r="E25">
        <v>50</v>
      </c>
      <c r="F25">
        <v>60</v>
      </c>
      <c r="G25">
        <v>400</v>
      </c>
      <c r="H25" t="s">
        <v>356</v>
      </c>
      <c r="I25" s="17">
        <v>0.1166666666666667</v>
      </c>
      <c r="J25">
        <v>15</v>
      </c>
      <c r="K25" t="s">
        <v>342</v>
      </c>
      <c r="L25">
        <v>8650</v>
      </c>
      <c r="M25">
        <v>-40</v>
      </c>
      <c r="N25">
        <v>35</v>
      </c>
      <c r="O25">
        <v>4.8</v>
      </c>
      <c r="P25" s="18">
        <f>((1000*O25)/0.08924)/1000</f>
        <v>53.787539220080681</v>
      </c>
      <c r="Q25" s="18"/>
      <c r="R25" s="19">
        <v>0.16666666666666671</v>
      </c>
      <c r="S25">
        <v>62</v>
      </c>
      <c r="T25">
        <v>62.5</v>
      </c>
      <c r="V25">
        <v>25</v>
      </c>
      <c r="W25">
        <v>75</v>
      </c>
      <c r="X25">
        <v>0.1</v>
      </c>
      <c r="Y25">
        <v>80000</v>
      </c>
      <c r="Z25">
        <v>8600</v>
      </c>
      <c r="AA25">
        <v>3.8</v>
      </c>
      <c r="AB25">
        <v>40</v>
      </c>
      <c r="AC25">
        <v>0.89</v>
      </c>
      <c r="AD25">
        <v>9.9</v>
      </c>
      <c r="AE25" t="s">
        <v>342</v>
      </c>
      <c r="AF25">
        <v>5</v>
      </c>
      <c r="AG25">
        <v>40</v>
      </c>
    </row>
    <row r="26" spans="1:33" x14ac:dyDescent="0.2">
      <c r="A26" t="s">
        <v>349</v>
      </c>
      <c r="B26" t="s">
        <v>374</v>
      </c>
      <c r="C26" t="s">
        <v>264</v>
      </c>
      <c r="D26">
        <v>18</v>
      </c>
      <c r="F26">
        <v>60</v>
      </c>
      <c r="I26" s="17"/>
      <c r="R26" s="19"/>
      <c r="AB26">
        <v>8</v>
      </c>
      <c r="AC26">
        <v>0.9</v>
      </c>
      <c r="AD26">
        <v>10</v>
      </c>
      <c r="AE26" t="s">
        <v>343</v>
      </c>
    </row>
    <row r="27" spans="1:33" x14ac:dyDescent="0.2">
      <c r="A27" t="s">
        <v>354</v>
      </c>
      <c r="B27" t="s">
        <v>375</v>
      </c>
      <c r="C27" t="s">
        <v>264</v>
      </c>
      <c r="D27">
        <v>1</v>
      </c>
      <c r="E27">
        <v>86</v>
      </c>
      <c r="F27">
        <v>86</v>
      </c>
      <c r="G27">
        <v>400</v>
      </c>
      <c r="H27" t="s">
        <v>356</v>
      </c>
      <c r="I27" s="17">
        <v>9.3023255813953487E-2</v>
      </c>
      <c r="J27">
        <v>3</v>
      </c>
      <c r="K27" t="s">
        <v>343</v>
      </c>
      <c r="L27">
        <v>8700</v>
      </c>
      <c r="M27">
        <v>5</v>
      </c>
      <c r="N27">
        <v>45</v>
      </c>
      <c r="O27">
        <v>4.8</v>
      </c>
      <c r="P27" s="18">
        <f>((1000*O27)/0.08924)/1000</f>
        <v>53.787539220080681</v>
      </c>
      <c r="Q27" s="18"/>
      <c r="R27" s="19">
        <v>0.2558139534883721</v>
      </c>
      <c r="T27">
        <v>62.5</v>
      </c>
      <c r="U27">
        <v>92.5</v>
      </c>
      <c r="V27">
        <v>20</v>
      </c>
      <c r="W27">
        <v>55</v>
      </c>
      <c r="X27">
        <v>2</v>
      </c>
      <c r="Y27">
        <v>35000</v>
      </c>
      <c r="Z27">
        <v>8760</v>
      </c>
      <c r="AA27">
        <v>3</v>
      </c>
      <c r="AB27">
        <v>35</v>
      </c>
      <c r="AC27">
        <v>1.6</v>
      </c>
      <c r="AD27">
        <v>17.8</v>
      </c>
      <c r="AE27" t="s">
        <v>343</v>
      </c>
      <c r="AF27">
        <v>5</v>
      </c>
      <c r="AG27">
        <v>35</v>
      </c>
    </row>
    <row r="28" spans="1:33" x14ac:dyDescent="0.2">
      <c r="A28" t="s">
        <v>354</v>
      </c>
      <c r="B28" t="s">
        <v>376</v>
      </c>
      <c r="C28" t="s">
        <v>264</v>
      </c>
      <c r="D28">
        <v>1</v>
      </c>
      <c r="E28">
        <v>86</v>
      </c>
      <c r="F28">
        <v>86</v>
      </c>
      <c r="G28">
        <v>400</v>
      </c>
      <c r="H28" t="s">
        <v>356</v>
      </c>
      <c r="I28" s="17">
        <v>9.3023255813953487E-2</v>
      </c>
      <c r="J28">
        <v>3</v>
      </c>
      <c r="K28" t="s">
        <v>343</v>
      </c>
      <c r="L28">
        <v>8700</v>
      </c>
      <c r="M28">
        <v>-25</v>
      </c>
      <c r="N28">
        <v>40</v>
      </c>
      <c r="O28">
        <v>4.8</v>
      </c>
      <c r="P28" s="18">
        <f>((1000*O28)/0.08924)/1000</f>
        <v>53.787539220080681</v>
      </c>
      <c r="Q28" s="18"/>
      <c r="R28" s="19">
        <v>0.2558139534883721</v>
      </c>
      <c r="T28">
        <v>62.5</v>
      </c>
      <c r="U28">
        <v>92.5</v>
      </c>
      <c r="V28">
        <v>20</v>
      </c>
      <c r="W28">
        <v>55</v>
      </c>
      <c r="X28">
        <v>2</v>
      </c>
      <c r="Y28">
        <v>35000</v>
      </c>
      <c r="Z28">
        <v>8760</v>
      </c>
      <c r="AA28">
        <v>3</v>
      </c>
      <c r="AB28">
        <v>35</v>
      </c>
      <c r="AC28">
        <v>1.6</v>
      </c>
      <c r="AD28">
        <v>17.8</v>
      </c>
      <c r="AE28" t="s">
        <v>343</v>
      </c>
      <c r="AF28">
        <v>5</v>
      </c>
      <c r="AG28">
        <v>35</v>
      </c>
    </row>
    <row r="29" spans="1:33" x14ac:dyDescent="0.2">
      <c r="A29" t="s">
        <v>349</v>
      </c>
      <c r="B29" t="s">
        <v>377</v>
      </c>
      <c r="C29" t="s">
        <v>264</v>
      </c>
      <c r="F29">
        <v>100</v>
      </c>
      <c r="H29" t="s">
        <v>341</v>
      </c>
      <c r="I29" s="17"/>
      <c r="O29">
        <v>4.5</v>
      </c>
      <c r="P29" s="18">
        <f>((1000*O29)/0.08924)/1000</f>
        <v>50.425818018825638</v>
      </c>
      <c r="Q29" s="18"/>
      <c r="R29" s="19"/>
      <c r="T29">
        <v>66.7</v>
      </c>
      <c r="AB29">
        <v>30</v>
      </c>
      <c r="AC29">
        <v>1.8</v>
      </c>
      <c r="AD29">
        <v>20</v>
      </c>
    </row>
    <row r="30" spans="1:33" x14ac:dyDescent="0.2">
      <c r="A30" t="s">
        <v>344</v>
      </c>
      <c r="B30" t="s">
        <v>378</v>
      </c>
      <c r="C30" t="s">
        <v>340</v>
      </c>
      <c r="F30">
        <v>100</v>
      </c>
      <c r="I30" s="17"/>
      <c r="O30">
        <v>5</v>
      </c>
      <c r="P30" s="18">
        <f>((1000*O30)/0.08924)/1000</f>
        <v>56.028686687584042</v>
      </c>
      <c r="Q30" s="18"/>
      <c r="R30" s="19"/>
      <c r="T30">
        <v>60</v>
      </c>
      <c r="V30">
        <v>20</v>
      </c>
      <c r="W30">
        <v>80</v>
      </c>
      <c r="X30">
        <v>0.1</v>
      </c>
      <c r="Y30">
        <v>40000</v>
      </c>
      <c r="AB30">
        <v>40</v>
      </c>
      <c r="AC30">
        <v>1.79</v>
      </c>
      <c r="AD30">
        <v>19.899999999999999</v>
      </c>
    </row>
    <row r="31" spans="1:33" x14ac:dyDescent="0.2">
      <c r="A31" t="s">
        <v>379</v>
      </c>
      <c r="B31" t="s">
        <v>380</v>
      </c>
      <c r="C31" t="s">
        <v>340</v>
      </c>
      <c r="D31">
        <v>12</v>
      </c>
      <c r="E31">
        <v>100</v>
      </c>
      <c r="F31">
        <v>105</v>
      </c>
      <c r="G31">
        <v>400</v>
      </c>
      <c r="H31" t="s">
        <v>348</v>
      </c>
      <c r="I31" s="17">
        <v>6.6666666666666666E-2</v>
      </c>
      <c r="J31">
        <v>40</v>
      </c>
      <c r="K31" t="s">
        <v>343</v>
      </c>
      <c r="L31">
        <v>8600</v>
      </c>
      <c r="M31">
        <v>5</v>
      </c>
      <c r="N31">
        <v>45</v>
      </c>
      <c r="R31" s="19"/>
      <c r="AB31">
        <v>30</v>
      </c>
      <c r="AC31">
        <v>1.75</v>
      </c>
      <c r="AD31">
        <v>19.399999999999999</v>
      </c>
      <c r="AE31" t="s">
        <v>343</v>
      </c>
    </row>
    <row r="32" spans="1:33" x14ac:dyDescent="0.2">
      <c r="A32" t="s">
        <v>365</v>
      </c>
      <c r="B32" t="s">
        <v>381</v>
      </c>
      <c r="C32" t="s">
        <v>340</v>
      </c>
      <c r="D32">
        <v>10</v>
      </c>
      <c r="E32">
        <v>100</v>
      </c>
      <c r="F32">
        <v>110</v>
      </c>
      <c r="G32">
        <v>400</v>
      </c>
      <c r="H32" t="s">
        <v>348</v>
      </c>
      <c r="I32" s="17">
        <v>0.13636363636363641</v>
      </c>
      <c r="J32">
        <v>1</v>
      </c>
      <c r="K32" t="s">
        <v>342</v>
      </c>
      <c r="L32">
        <v>8410</v>
      </c>
      <c r="M32">
        <v>-20</v>
      </c>
      <c r="N32">
        <v>40</v>
      </c>
      <c r="O32">
        <v>4.67</v>
      </c>
      <c r="P32" s="18">
        <f t="shared" ref="P32:P39" si="0">((1000*O32)/0.08924)/1000</f>
        <v>52.330793366203501</v>
      </c>
      <c r="Q32" s="18"/>
      <c r="R32" s="19"/>
      <c r="T32">
        <v>64.2</v>
      </c>
      <c r="V32">
        <v>5</v>
      </c>
      <c r="W32">
        <v>70</v>
      </c>
      <c r="X32">
        <v>1</v>
      </c>
      <c r="Y32">
        <v>80000</v>
      </c>
      <c r="AA32">
        <v>3.5</v>
      </c>
      <c r="AB32">
        <v>40</v>
      </c>
      <c r="AC32">
        <v>1.8</v>
      </c>
      <c r="AD32">
        <v>20</v>
      </c>
      <c r="AE32" t="s">
        <v>342</v>
      </c>
    </row>
    <row r="33" spans="1:33" x14ac:dyDescent="0.2">
      <c r="A33" t="s">
        <v>382</v>
      </c>
      <c r="B33" t="s">
        <v>383</v>
      </c>
      <c r="C33" t="s">
        <v>264</v>
      </c>
      <c r="D33">
        <v>46</v>
      </c>
      <c r="F33">
        <v>115</v>
      </c>
      <c r="H33" t="s">
        <v>348</v>
      </c>
      <c r="I33" s="17">
        <v>0.46956521739130441</v>
      </c>
      <c r="K33" t="s">
        <v>342</v>
      </c>
      <c r="M33">
        <v>-20</v>
      </c>
      <c r="N33">
        <v>40</v>
      </c>
      <c r="O33">
        <v>4.9000000000000004</v>
      </c>
      <c r="P33" s="18">
        <f t="shared" si="0"/>
        <v>54.908112953832365</v>
      </c>
      <c r="Q33" s="18"/>
      <c r="R33" s="19"/>
      <c r="AA33">
        <v>4.8</v>
      </c>
      <c r="AB33">
        <v>10</v>
      </c>
      <c r="AC33">
        <v>0.88</v>
      </c>
      <c r="AD33">
        <v>9.6999999999999993</v>
      </c>
      <c r="AE33" t="s">
        <v>342</v>
      </c>
    </row>
    <row r="34" spans="1:33" x14ac:dyDescent="0.2">
      <c r="A34" t="s">
        <v>372</v>
      </c>
      <c r="B34" t="s">
        <v>384</v>
      </c>
      <c r="C34" t="s">
        <v>340</v>
      </c>
      <c r="D34">
        <v>20</v>
      </c>
      <c r="E34">
        <v>100</v>
      </c>
      <c r="F34">
        <v>120</v>
      </c>
      <c r="G34">
        <v>400</v>
      </c>
      <c r="H34" t="s">
        <v>356</v>
      </c>
      <c r="I34" s="17">
        <v>5.8333333333333327E-2</v>
      </c>
      <c r="J34">
        <v>15</v>
      </c>
      <c r="K34" t="s">
        <v>342</v>
      </c>
      <c r="L34">
        <v>8650</v>
      </c>
      <c r="M34">
        <v>-40</v>
      </c>
      <c r="N34">
        <v>35</v>
      </c>
      <c r="O34">
        <v>4.8</v>
      </c>
      <c r="P34" s="18">
        <f t="shared" si="0"/>
        <v>53.787539220080681</v>
      </c>
      <c r="Q34" s="18"/>
      <c r="R34" s="19">
        <v>0.16666666666666671</v>
      </c>
      <c r="S34">
        <v>62</v>
      </c>
      <c r="T34">
        <v>62.5</v>
      </c>
      <c r="V34">
        <v>25</v>
      </c>
      <c r="W34">
        <v>75</v>
      </c>
      <c r="X34">
        <v>0.1</v>
      </c>
      <c r="Y34">
        <v>80000</v>
      </c>
      <c r="Z34">
        <v>8600</v>
      </c>
      <c r="AA34">
        <v>3.8</v>
      </c>
      <c r="AB34">
        <v>40</v>
      </c>
      <c r="AC34">
        <v>1.78</v>
      </c>
      <c r="AD34">
        <v>19.8</v>
      </c>
      <c r="AE34" t="s">
        <v>342</v>
      </c>
      <c r="AF34">
        <v>5</v>
      </c>
      <c r="AG34">
        <v>40</v>
      </c>
    </row>
    <row r="35" spans="1:33" x14ac:dyDescent="0.2">
      <c r="A35" t="s">
        <v>338</v>
      </c>
      <c r="B35" t="s">
        <v>385</v>
      </c>
      <c r="C35" t="s">
        <v>340</v>
      </c>
      <c r="D35">
        <v>21</v>
      </c>
      <c r="E35">
        <v>100</v>
      </c>
      <c r="F35">
        <v>120</v>
      </c>
      <c r="G35">
        <v>300</v>
      </c>
      <c r="H35" t="s">
        <v>341</v>
      </c>
      <c r="I35" s="17"/>
      <c r="J35">
        <v>10</v>
      </c>
      <c r="K35" t="s">
        <v>342</v>
      </c>
      <c r="O35">
        <v>4.83</v>
      </c>
      <c r="P35" s="18">
        <f t="shared" si="0"/>
        <v>54.123711340206185</v>
      </c>
      <c r="Q35" s="18"/>
      <c r="R35" s="19"/>
      <c r="T35">
        <v>62.1</v>
      </c>
      <c r="V35">
        <v>5</v>
      </c>
      <c r="W35">
        <v>80</v>
      </c>
      <c r="X35">
        <v>0.1</v>
      </c>
      <c r="Y35">
        <v>80000</v>
      </c>
      <c r="AA35">
        <v>5.5</v>
      </c>
      <c r="AB35">
        <v>40</v>
      </c>
      <c r="AC35">
        <v>1.9</v>
      </c>
      <c r="AD35">
        <v>21.1</v>
      </c>
      <c r="AE35" t="s">
        <v>343</v>
      </c>
    </row>
    <row r="36" spans="1:33" x14ac:dyDescent="0.2">
      <c r="A36" t="s">
        <v>382</v>
      </c>
      <c r="B36" t="s">
        <v>386</v>
      </c>
      <c r="C36" t="s">
        <v>264</v>
      </c>
      <c r="D36">
        <v>62</v>
      </c>
      <c r="F36">
        <v>155</v>
      </c>
      <c r="H36" t="s">
        <v>348</v>
      </c>
      <c r="I36" s="17">
        <v>0.34838709677419349</v>
      </c>
      <c r="K36" t="s">
        <v>342</v>
      </c>
      <c r="M36">
        <v>-20</v>
      </c>
      <c r="N36">
        <v>40</v>
      </c>
      <c r="O36">
        <v>4.9000000000000004</v>
      </c>
      <c r="P36" s="18">
        <f t="shared" si="0"/>
        <v>54.908112953832365</v>
      </c>
      <c r="Q36" s="18"/>
      <c r="R36" s="19"/>
      <c r="AA36">
        <v>4.8</v>
      </c>
      <c r="AB36">
        <v>10</v>
      </c>
      <c r="AC36">
        <v>1.33</v>
      </c>
      <c r="AD36">
        <v>14.8</v>
      </c>
      <c r="AE36" t="s">
        <v>342</v>
      </c>
    </row>
    <row r="37" spans="1:33" x14ac:dyDescent="0.2">
      <c r="A37" t="s">
        <v>354</v>
      </c>
      <c r="B37" t="s">
        <v>387</v>
      </c>
      <c r="C37" t="s">
        <v>264</v>
      </c>
      <c r="D37">
        <v>1</v>
      </c>
      <c r="E37">
        <v>173</v>
      </c>
      <c r="F37">
        <v>173</v>
      </c>
      <c r="G37">
        <v>400</v>
      </c>
      <c r="H37" t="s">
        <v>356</v>
      </c>
      <c r="I37" s="17">
        <v>9.2485549132947972E-2</v>
      </c>
      <c r="J37">
        <v>3</v>
      </c>
      <c r="K37" t="s">
        <v>343</v>
      </c>
      <c r="L37">
        <v>8700</v>
      </c>
      <c r="M37">
        <v>5</v>
      </c>
      <c r="N37">
        <v>45</v>
      </c>
      <c r="O37">
        <v>4.8</v>
      </c>
      <c r="P37" s="18">
        <f t="shared" si="0"/>
        <v>53.787539220080681</v>
      </c>
      <c r="Q37" s="18"/>
      <c r="R37" s="19">
        <v>0.2485549132947977</v>
      </c>
      <c r="T37">
        <v>62.5</v>
      </c>
      <c r="U37">
        <v>92.5</v>
      </c>
      <c r="V37">
        <v>20</v>
      </c>
      <c r="W37">
        <v>55</v>
      </c>
      <c r="X37">
        <v>2</v>
      </c>
      <c r="Y37">
        <v>35000</v>
      </c>
      <c r="Z37">
        <v>8760</v>
      </c>
      <c r="AA37">
        <v>3</v>
      </c>
      <c r="AB37">
        <v>35</v>
      </c>
      <c r="AC37">
        <v>3.2</v>
      </c>
      <c r="AD37">
        <v>35.6</v>
      </c>
      <c r="AE37" t="s">
        <v>343</v>
      </c>
      <c r="AF37">
        <v>5</v>
      </c>
      <c r="AG37">
        <v>35</v>
      </c>
    </row>
    <row r="38" spans="1:33" x14ac:dyDescent="0.2">
      <c r="A38" t="s">
        <v>354</v>
      </c>
      <c r="B38" t="s">
        <v>388</v>
      </c>
      <c r="C38" t="s">
        <v>264</v>
      </c>
      <c r="D38">
        <v>1</v>
      </c>
      <c r="E38">
        <v>173</v>
      </c>
      <c r="F38">
        <v>173</v>
      </c>
      <c r="G38">
        <v>400</v>
      </c>
      <c r="H38" t="s">
        <v>356</v>
      </c>
      <c r="I38" s="17">
        <v>9.2485549132947972E-2</v>
      </c>
      <c r="J38">
        <v>3</v>
      </c>
      <c r="K38" t="s">
        <v>343</v>
      </c>
      <c r="L38">
        <v>8700</v>
      </c>
      <c r="M38">
        <v>-25</v>
      </c>
      <c r="N38">
        <v>40</v>
      </c>
      <c r="O38">
        <v>4.8</v>
      </c>
      <c r="P38" s="18">
        <f t="shared" si="0"/>
        <v>53.787539220080681</v>
      </c>
      <c r="Q38" s="18"/>
      <c r="R38" s="19">
        <v>0.2485549132947977</v>
      </c>
      <c r="T38">
        <v>62.5</v>
      </c>
      <c r="U38">
        <v>92.5</v>
      </c>
      <c r="V38">
        <v>20</v>
      </c>
      <c r="W38">
        <v>55</v>
      </c>
      <c r="X38">
        <v>2</v>
      </c>
      <c r="Y38">
        <v>35000</v>
      </c>
      <c r="Z38">
        <v>8760</v>
      </c>
      <c r="AA38">
        <v>3</v>
      </c>
      <c r="AB38">
        <v>35</v>
      </c>
      <c r="AC38">
        <v>3.2</v>
      </c>
      <c r="AD38">
        <v>35.6</v>
      </c>
      <c r="AE38" t="s">
        <v>343</v>
      </c>
      <c r="AF38">
        <v>5</v>
      </c>
      <c r="AG38">
        <v>35</v>
      </c>
    </row>
    <row r="39" spans="1:33" x14ac:dyDescent="0.2">
      <c r="A39" t="s">
        <v>372</v>
      </c>
      <c r="B39" t="s">
        <v>389</v>
      </c>
      <c r="C39" t="s">
        <v>340</v>
      </c>
      <c r="D39">
        <v>30</v>
      </c>
      <c r="E39">
        <v>150</v>
      </c>
      <c r="F39">
        <v>180</v>
      </c>
      <c r="G39">
        <v>400</v>
      </c>
      <c r="H39" t="s">
        <v>356</v>
      </c>
      <c r="I39" s="17">
        <v>0.15555555555555561</v>
      </c>
      <c r="J39">
        <v>15</v>
      </c>
      <c r="K39" t="s">
        <v>342</v>
      </c>
      <c r="L39">
        <v>8650</v>
      </c>
      <c r="M39">
        <v>-40</v>
      </c>
      <c r="N39">
        <v>35</v>
      </c>
      <c r="O39">
        <v>4.8</v>
      </c>
      <c r="P39" s="18">
        <f t="shared" si="0"/>
        <v>53.787539220080681</v>
      </c>
      <c r="Q39" s="18"/>
      <c r="R39" s="19">
        <v>0.16666666666666671</v>
      </c>
      <c r="S39">
        <v>62</v>
      </c>
      <c r="T39">
        <v>62.5</v>
      </c>
      <c r="V39">
        <v>25</v>
      </c>
      <c r="W39">
        <v>75</v>
      </c>
      <c r="X39">
        <v>0.1</v>
      </c>
      <c r="Y39">
        <v>80000</v>
      </c>
      <c r="Z39">
        <v>8600</v>
      </c>
      <c r="AA39">
        <v>3.8</v>
      </c>
      <c r="AB39">
        <v>40</v>
      </c>
      <c r="AC39">
        <v>2.67</v>
      </c>
      <c r="AD39">
        <v>29.7</v>
      </c>
      <c r="AE39" t="s">
        <v>342</v>
      </c>
      <c r="AF39">
        <v>5</v>
      </c>
      <c r="AG39">
        <v>40</v>
      </c>
    </row>
    <row r="40" spans="1:33" x14ac:dyDescent="0.2">
      <c r="A40" t="s">
        <v>379</v>
      </c>
      <c r="B40" t="s">
        <v>390</v>
      </c>
      <c r="C40" t="s">
        <v>340</v>
      </c>
      <c r="D40">
        <v>24</v>
      </c>
      <c r="E40">
        <v>200</v>
      </c>
      <c r="F40">
        <v>210</v>
      </c>
      <c r="G40">
        <v>400</v>
      </c>
      <c r="H40" t="s">
        <v>348</v>
      </c>
      <c r="I40" s="17">
        <v>6.6666666666666666E-2</v>
      </c>
      <c r="J40">
        <v>40</v>
      </c>
      <c r="K40" t="s">
        <v>343</v>
      </c>
      <c r="L40">
        <v>8600</v>
      </c>
      <c r="M40">
        <v>5</v>
      </c>
      <c r="N40">
        <v>45</v>
      </c>
      <c r="R40" s="19"/>
      <c r="AB40">
        <v>30</v>
      </c>
      <c r="AC40">
        <v>3.5</v>
      </c>
      <c r="AD40">
        <v>38.9</v>
      </c>
      <c r="AE40" t="s">
        <v>343</v>
      </c>
    </row>
    <row r="41" spans="1:33" x14ac:dyDescent="0.2">
      <c r="A41" t="s">
        <v>372</v>
      </c>
      <c r="B41" t="s">
        <v>391</v>
      </c>
      <c r="C41" t="s">
        <v>340</v>
      </c>
      <c r="D41">
        <v>20</v>
      </c>
      <c r="E41">
        <v>200</v>
      </c>
      <c r="F41">
        <v>240</v>
      </c>
      <c r="G41">
        <v>400</v>
      </c>
      <c r="H41" t="s">
        <v>356</v>
      </c>
      <c r="I41" s="17">
        <v>5.8333333333333327E-2</v>
      </c>
      <c r="J41">
        <v>15</v>
      </c>
      <c r="K41" t="s">
        <v>343</v>
      </c>
      <c r="L41">
        <v>8650</v>
      </c>
      <c r="M41">
        <v>-40</v>
      </c>
      <c r="N41">
        <v>35</v>
      </c>
      <c r="O41">
        <v>4.8</v>
      </c>
      <c r="P41" s="18">
        <f>((1000*O41)/0.08924)/1000</f>
        <v>53.787539220080681</v>
      </c>
      <c r="Q41" s="18"/>
      <c r="R41" s="19">
        <v>0.16666666666666671</v>
      </c>
      <c r="S41">
        <v>62</v>
      </c>
      <c r="T41">
        <v>62.5</v>
      </c>
      <c r="V41">
        <v>25</v>
      </c>
      <c r="W41">
        <v>75</v>
      </c>
      <c r="X41">
        <v>0.1</v>
      </c>
      <c r="Y41">
        <v>80000</v>
      </c>
      <c r="Z41">
        <v>8600</v>
      </c>
      <c r="AA41">
        <v>3.8</v>
      </c>
      <c r="AB41">
        <v>40</v>
      </c>
      <c r="AC41">
        <v>3.56</v>
      </c>
      <c r="AD41">
        <v>39.6</v>
      </c>
      <c r="AE41" t="s">
        <v>342</v>
      </c>
      <c r="AF41">
        <v>5</v>
      </c>
      <c r="AG41">
        <v>40</v>
      </c>
    </row>
    <row r="42" spans="1:33" x14ac:dyDescent="0.2">
      <c r="A42" t="s">
        <v>392</v>
      </c>
      <c r="B42" t="s">
        <v>393</v>
      </c>
      <c r="C42" t="s">
        <v>264</v>
      </c>
      <c r="D42">
        <v>110</v>
      </c>
      <c r="F42">
        <v>275</v>
      </c>
      <c r="H42" t="s">
        <v>348</v>
      </c>
      <c r="I42" s="17">
        <v>0.19636363636363641</v>
      </c>
      <c r="K42" t="s">
        <v>342</v>
      </c>
      <c r="M42">
        <v>-20</v>
      </c>
      <c r="N42">
        <v>40</v>
      </c>
      <c r="R42" s="19"/>
      <c r="AA42">
        <v>4.8</v>
      </c>
      <c r="AB42">
        <v>10</v>
      </c>
      <c r="AC42">
        <v>2.67</v>
      </c>
      <c r="AD42">
        <v>29.6</v>
      </c>
      <c r="AE42" t="s">
        <v>342</v>
      </c>
    </row>
    <row r="43" spans="1:33" x14ac:dyDescent="0.2">
      <c r="A43" t="s">
        <v>394</v>
      </c>
      <c r="B43" t="s">
        <v>395</v>
      </c>
      <c r="C43" t="s">
        <v>340</v>
      </c>
      <c r="D43">
        <v>40</v>
      </c>
      <c r="E43">
        <v>225</v>
      </c>
      <c r="F43">
        <v>330</v>
      </c>
      <c r="G43">
        <v>400</v>
      </c>
      <c r="H43" t="s">
        <v>348</v>
      </c>
      <c r="I43" s="17">
        <v>4.2424242424242427E-2</v>
      </c>
      <c r="J43">
        <v>30</v>
      </c>
      <c r="K43" t="s">
        <v>342</v>
      </c>
      <c r="L43">
        <v>8322</v>
      </c>
      <c r="M43">
        <v>-15</v>
      </c>
      <c r="N43">
        <v>30</v>
      </c>
      <c r="R43" s="19"/>
      <c r="X43">
        <v>0.1</v>
      </c>
      <c r="AA43">
        <v>5</v>
      </c>
      <c r="AB43">
        <v>30</v>
      </c>
      <c r="AC43">
        <v>4.2300000000000004</v>
      </c>
      <c r="AD43">
        <v>47</v>
      </c>
      <c r="AE43" t="s">
        <v>342</v>
      </c>
    </row>
    <row r="44" spans="1:33" x14ac:dyDescent="0.2">
      <c r="A44" t="s">
        <v>372</v>
      </c>
      <c r="B44" t="s">
        <v>396</v>
      </c>
      <c r="C44" t="s">
        <v>340</v>
      </c>
      <c r="D44">
        <v>30</v>
      </c>
      <c r="E44">
        <v>300</v>
      </c>
      <c r="F44">
        <v>360</v>
      </c>
      <c r="G44">
        <v>400</v>
      </c>
      <c r="H44" t="s">
        <v>356</v>
      </c>
      <c r="I44" s="17">
        <v>3.888888888888889E-2</v>
      </c>
      <c r="J44">
        <v>15</v>
      </c>
      <c r="K44" t="s">
        <v>342</v>
      </c>
      <c r="L44">
        <v>8650</v>
      </c>
      <c r="M44">
        <v>-40</v>
      </c>
      <c r="N44">
        <v>35</v>
      </c>
      <c r="O44">
        <v>4.8</v>
      </c>
      <c r="P44" s="18">
        <f>((1000*O44)/0.08924)/1000</f>
        <v>53.787539220080681</v>
      </c>
      <c r="Q44" s="18"/>
      <c r="R44" s="19">
        <v>0.16666666666666671</v>
      </c>
      <c r="S44">
        <v>62</v>
      </c>
      <c r="T44">
        <v>62.5</v>
      </c>
      <c r="V44">
        <v>25</v>
      </c>
      <c r="W44">
        <v>75</v>
      </c>
      <c r="X44">
        <v>0.1</v>
      </c>
      <c r="Y44">
        <v>80000</v>
      </c>
      <c r="Z44">
        <v>8600</v>
      </c>
      <c r="AA44">
        <v>3.8</v>
      </c>
      <c r="AB44">
        <v>40</v>
      </c>
      <c r="AC44">
        <v>5.34</v>
      </c>
      <c r="AD44">
        <v>59.3</v>
      </c>
      <c r="AE44" t="s">
        <v>342</v>
      </c>
      <c r="AF44">
        <v>5</v>
      </c>
      <c r="AG44">
        <v>40</v>
      </c>
    </row>
    <row r="45" spans="1:33" x14ac:dyDescent="0.2">
      <c r="A45" t="s">
        <v>379</v>
      </c>
      <c r="B45" t="s">
        <v>397</v>
      </c>
      <c r="C45" t="s">
        <v>340</v>
      </c>
      <c r="D45">
        <v>48</v>
      </c>
      <c r="E45">
        <v>400</v>
      </c>
      <c r="F45">
        <v>420</v>
      </c>
      <c r="G45">
        <v>400</v>
      </c>
      <c r="H45" t="s">
        <v>348</v>
      </c>
      <c r="I45" s="17">
        <v>6.4285714285714279E-2</v>
      </c>
      <c r="J45">
        <v>40</v>
      </c>
      <c r="K45" t="s">
        <v>343</v>
      </c>
      <c r="L45">
        <v>8600</v>
      </c>
      <c r="M45">
        <v>5</v>
      </c>
      <c r="N45">
        <v>45</v>
      </c>
      <c r="R45" s="19"/>
      <c r="AB45">
        <v>30</v>
      </c>
      <c r="AC45">
        <v>7</v>
      </c>
      <c r="AD45">
        <v>77.8</v>
      </c>
      <c r="AE45" t="s">
        <v>343</v>
      </c>
    </row>
    <row r="46" spans="1:33" x14ac:dyDescent="0.2">
      <c r="A46" t="s">
        <v>349</v>
      </c>
      <c r="B46" t="s">
        <v>398</v>
      </c>
      <c r="C46" t="s">
        <v>264</v>
      </c>
      <c r="F46">
        <v>500</v>
      </c>
      <c r="H46" t="s">
        <v>341</v>
      </c>
      <c r="I46" s="17"/>
      <c r="O46">
        <v>4.5</v>
      </c>
      <c r="P46" s="18">
        <f>((1000*O46)/0.08924)/1000</f>
        <v>50.425818018825638</v>
      </c>
      <c r="Q46" s="18"/>
      <c r="R46" s="19"/>
      <c r="T46">
        <v>66.7</v>
      </c>
      <c r="AB46">
        <v>30</v>
      </c>
      <c r="AC46">
        <v>9</v>
      </c>
      <c r="AD46">
        <v>100</v>
      </c>
    </row>
    <row r="47" spans="1:33" x14ac:dyDescent="0.2">
      <c r="A47" t="s">
        <v>354</v>
      </c>
      <c r="B47" t="s">
        <v>399</v>
      </c>
      <c r="C47" t="s">
        <v>264</v>
      </c>
      <c r="D47">
        <v>15</v>
      </c>
      <c r="E47">
        <v>504</v>
      </c>
      <c r="F47">
        <v>504</v>
      </c>
      <c r="G47">
        <v>400</v>
      </c>
      <c r="H47" t="s">
        <v>348</v>
      </c>
      <c r="I47" s="17"/>
      <c r="K47" t="s">
        <v>342</v>
      </c>
      <c r="M47">
        <v>-15</v>
      </c>
      <c r="N47">
        <v>45</v>
      </c>
      <c r="O47">
        <v>4.8</v>
      </c>
      <c r="P47" s="18">
        <f>((1000*O47)/0.08924)/1000</f>
        <v>53.787539220080681</v>
      </c>
      <c r="Q47" s="18"/>
      <c r="R47" s="19">
        <v>0.32738095238095238</v>
      </c>
      <c r="T47">
        <v>62.5</v>
      </c>
      <c r="V47">
        <v>20</v>
      </c>
      <c r="W47">
        <v>55</v>
      </c>
      <c r="X47">
        <v>5</v>
      </c>
      <c r="Y47">
        <v>35000</v>
      </c>
      <c r="AA47">
        <v>3</v>
      </c>
      <c r="AB47">
        <v>35</v>
      </c>
      <c r="AC47">
        <v>9.3000000000000007</v>
      </c>
      <c r="AD47">
        <v>103.3</v>
      </c>
      <c r="AE47" t="s">
        <v>343</v>
      </c>
      <c r="AF47">
        <v>5</v>
      </c>
      <c r="AG47">
        <v>35</v>
      </c>
    </row>
    <row r="48" spans="1:33" x14ac:dyDescent="0.2">
      <c r="A48" t="s">
        <v>372</v>
      </c>
      <c r="B48" t="s">
        <v>400</v>
      </c>
      <c r="C48" t="s">
        <v>340</v>
      </c>
      <c r="D48">
        <v>45</v>
      </c>
      <c r="E48">
        <v>450</v>
      </c>
      <c r="F48">
        <v>540</v>
      </c>
      <c r="G48">
        <v>400</v>
      </c>
      <c r="H48" t="s">
        <v>356</v>
      </c>
      <c r="I48" s="17">
        <v>2.5925925925925929E-2</v>
      </c>
      <c r="J48">
        <v>15</v>
      </c>
      <c r="K48" t="s">
        <v>342</v>
      </c>
      <c r="L48">
        <v>8650</v>
      </c>
      <c r="M48">
        <v>-40</v>
      </c>
      <c r="N48">
        <v>35</v>
      </c>
      <c r="O48">
        <v>4.8</v>
      </c>
      <c r="P48" s="18">
        <f>((1000*O48)/0.08924)/1000</f>
        <v>53.787539220080681</v>
      </c>
      <c r="Q48" s="18"/>
      <c r="R48" s="19">
        <v>0.16666666666666671</v>
      </c>
      <c r="S48">
        <v>62</v>
      </c>
      <c r="T48">
        <v>62.5</v>
      </c>
      <c r="V48">
        <v>25</v>
      </c>
      <c r="W48">
        <v>75</v>
      </c>
      <c r="X48">
        <v>0.1</v>
      </c>
      <c r="Y48">
        <v>80000</v>
      </c>
      <c r="Z48">
        <v>8600</v>
      </c>
      <c r="AA48">
        <v>3.8</v>
      </c>
      <c r="AB48">
        <v>40</v>
      </c>
      <c r="AC48">
        <v>8.01</v>
      </c>
      <c r="AD48">
        <v>89</v>
      </c>
      <c r="AE48" t="s">
        <v>342</v>
      </c>
      <c r="AF48">
        <v>5</v>
      </c>
      <c r="AG48">
        <v>40</v>
      </c>
    </row>
    <row r="49" spans="1:33" x14ac:dyDescent="0.2">
      <c r="A49" t="s">
        <v>382</v>
      </c>
      <c r="B49" t="s">
        <v>401</v>
      </c>
      <c r="C49" t="s">
        <v>264</v>
      </c>
      <c r="D49">
        <v>220</v>
      </c>
      <c r="F49">
        <v>550</v>
      </c>
      <c r="H49" t="s">
        <v>348</v>
      </c>
      <c r="I49" s="17">
        <v>0.16181818181818181</v>
      </c>
      <c r="K49" t="s">
        <v>342</v>
      </c>
      <c r="M49">
        <v>-20</v>
      </c>
      <c r="N49">
        <v>40</v>
      </c>
      <c r="O49">
        <v>5.2</v>
      </c>
      <c r="P49" s="18">
        <f>((1000*O49)/0.08924)/1000</f>
        <v>58.269834155087402</v>
      </c>
      <c r="Q49" s="18"/>
      <c r="R49" s="19"/>
      <c r="AA49">
        <v>4.8</v>
      </c>
      <c r="AB49">
        <v>10</v>
      </c>
      <c r="AC49">
        <v>5.42</v>
      </c>
      <c r="AD49">
        <v>60.2</v>
      </c>
      <c r="AE49" t="s">
        <v>342</v>
      </c>
    </row>
    <row r="50" spans="1:33" x14ac:dyDescent="0.2">
      <c r="A50" t="s">
        <v>392</v>
      </c>
      <c r="B50" t="s">
        <v>402</v>
      </c>
      <c r="C50" t="s">
        <v>264</v>
      </c>
      <c r="D50">
        <v>270</v>
      </c>
      <c r="F50">
        <v>675</v>
      </c>
      <c r="H50" t="s">
        <v>348</v>
      </c>
      <c r="I50" s="17">
        <v>0.13185185185185189</v>
      </c>
      <c r="K50" t="s">
        <v>342</v>
      </c>
      <c r="M50">
        <v>-20</v>
      </c>
      <c r="N50">
        <v>40</v>
      </c>
      <c r="R50" s="19"/>
      <c r="AA50">
        <v>4.8</v>
      </c>
      <c r="AB50">
        <v>10</v>
      </c>
      <c r="AC50">
        <v>6.67</v>
      </c>
      <c r="AD50">
        <v>74.099999999999994</v>
      </c>
      <c r="AE50" t="s">
        <v>342</v>
      </c>
    </row>
    <row r="51" spans="1:33" x14ac:dyDescent="0.2">
      <c r="A51" t="s">
        <v>403</v>
      </c>
      <c r="B51" t="s">
        <v>404</v>
      </c>
      <c r="C51" t="s">
        <v>340</v>
      </c>
      <c r="F51">
        <v>700</v>
      </c>
      <c r="G51">
        <v>400</v>
      </c>
      <c r="H51" t="s">
        <v>348</v>
      </c>
      <c r="I51" s="17"/>
      <c r="J51">
        <v>1</v>
      </c>
      <c r="K51" t="s">
        <v>342</v>
      </c>
      <c r="R51" s="19"/>
      <c r="AA51">
        <v>5</v>
      </c>
      <c r="AB51">
        <v>20</v>
      </c>
      <c r="AC51">
        <v>11</v>
      </c>
      <c r="AD51">
        <v>122.2</v>
      </c>
      <c r="AE51" t="s">
        <v>342</v>
      </c>
    </row>
    <row r="52" spans="1:33" x14ac:dyDescent="0.2">
      <c r="A52" t="s">
        <v>372</v>
      </c>
      <c r="B52" t="s">
        <v>405</v>
      </c>
      <c r="C52" t="s">
        <v>340</v>
      </c>
      <c r="D52">
        <v>60</v>
      </c>
      <c r="E52">
        <v>600</v>
      </c>
      <c r="F52">
        <v>720</v>
      </c>
      <c r="G52">
        <v>400</v>
      </c>
      <c r="H52" t="s">
        <v>356</v>
      </c>
      <c r="I52" s="17">
        <v>1.9444444444444441E-2</v>
      </c>
      <c r="J52">
        <v>15</v>
      </c>
      <c r="K52" t="s">
        <v>342</v>
      </c>
      <c r="L52">
        <v>8650</v>
      </c>
      <c r="M52">
        <v>-40</v>
      </c>
      <c r="N52">
        <v>35</v>
      </c>
      <c r="O52">
        <v>4.8</v>
      </c>
      <c r="P52" s="18">
        <f>((1000*O52)/0.08924)/1000</f>
        <v>53.787539220080681</v>
      </c>
      <c r="Q52" s="18"/>
      <c r="R52" s="19">
        <v>0.16666666666666671</v>
      </c>
      <c r="S52">
        <v>62</v>
      </c>
      <c r="T52">
        <v>62.5</v>
      </c>
      <c r="V52">
        <v>25</v>
      </c>
      <c r="W52">
        <v>75</v>
      </c>
      <c r="X52">
        <v>0.1</v>
      </c>
      <c r="Y52">
        <v>80000</v>
      </c>
      <c r="Z52">
        <v>8600</v>
      </c>
      <c r="AA52">
        <v>3.8</v>
      </c>
      <c r="AB52">
        <v>40</v>
      </c>
      <c r="AC52">
        <v>10.68</v>
      </c>
      <c r="AD52">
        <v>118.7</v>
      </c>
      <c r="AE52" t="s">
        <v>342</v>
      </c>
      <c r="AF52">
        <v>5</v>
      </c>
      <c r="AG52">
        <v>40</v>
      </c>
    </row>
    <row r="53" spans="1:33" x14ac:dyDescent="0.2">
      <c r="A53" t="s">
        <v>382</v>
      </c>
      <c r="B53" t="s">
        <v>406</v>
      </c>
      <c r="C53" t="s">
        <v>340</v>
      </c>
      <c r="D53">
        <v>40</v>
      </c>
      <c r="F53">
        <v>788</v>
      </c>
      <c r="H53" t="s">
        <v>348</v>
      </c>
      <c r="I53" s="17">
        <v>0.2512690355329949</v>
      </c>
      <c r="K53" t="s">
        <v>342</v>
      </c>
      <c r="M53">
        <v>-20</v>
      </c>
      <c r="N53">
        <v>40</v>
      </c>
      <c r="O53">
        <v>3.95</v>
      </c>
      <c r="P53" s="18">
        <f>((1000*O53)/0.08924)/1000</f>
        <v>44.262662483191392</v>
      </c>
      <c r="Q53" s="18"/>
      <c r="R53" s="19"/>
      <c r="T53">
        <v>75.900000000000006</v>
      </c>
      <c r="AA53">
        <v>4.8</v>
      </c>
      <c r="AB53">
        <v>30</v>
      </c>
      <c r="AC53">
        <v>17.96</v>
      </c>
      <c r="AD53">
        <v>199.5</v>
      </c>
      <c r="AE53" t="s">
        <v>342</v>
      </c>
    </row>
    <row r="54" spans="1:33" x14ac:dyDescent="0.2">
      <c r="A54" t="s">
        <v>392</v>
      </c>
      <c r="B54" t="s">
        <v>407</v>
      </c>
      <c r="C54" t="s">
        <v>264</v>
      </c>
      <c r="D54">
        <v>320</v>
      </c>
      <c r="F54">
        <v>800</v>
      </c>
      <c r="H54" t="s">
        <v>348</v>
      </c>
      <c r="I54" s="17">
        <v>0.11125</v>
      </c>
      <c r="K54" t="s">
        <v>342</v>
      </c>
      <c r="M54">
        <v>-20</v>
      </c>
      <c r="N54">
        <v>40</v>
      </c>
      <c r="R54" s="19"/>
      <c r="AA54">
        <v>4.8</v>
      </c>
      <c r="AB54">
        <v>10</v>
      </c>
      <c r="AC54">
        <v>8.9600000000000009</v>
      </c>
      <c r="AD54">
        <v>99.5</v>
      </c>
      <c r="AE54" t="s">
        <v>342</v>
      </c>
    </row>
    <row r="55" spans="1:33" x14ac:dyDescent="0.2">
      <c r="A55" t="s">
        <v>372</v>
      </c>
      <c r="B55" t="s">
        <v>408</v>
      </c>
      <c r="C55" t="s">
        <v>340</v>
      </c>
      <c r="D55">
        <v>200</v>
      </c>
      <c r="E55">
        <v>750</v>
      </c>
      <c r="F55">
        <v>900</v>
      </c>
      <c r="G55">
        <v>400</v>
      </c>
      <c r="H55" t="s">
        <v>356</v>
      </c>
      <c r="I55" s="17">
        <v>3.111111111111111E-2</v>
      </c>
      <c r="J55">
        <v>15</v>
      </c>
      <c r="K55" t="s">
        <v>342</v>
      </c>
      <c r="L55">
        <v>8650</v>
      </c>
      <c r="M55">
        <v>-40</v>
      </c>
      <c r="N55">
        <v>35</v>
      </c>
      <c r="O55">
        <v>4.8</v>
      </c>
      <c r="P55" s="18">
        <f t="shared" ref="P55:P60" si="1">((1000*O55)/0.08924)/1000</f>
        <v>53.787539220080681</v>
      </c>
      <c r="Q55" s="18"/>
      <c r="R55" s="19">
        <v>0.16666666666666671</v>
      </c>
      <c r="S55">
        <v>62</v>
      </c>
      <c r="T55">
        <v>62.5</v>
      </c>
      <c r="V55">
        <v>25</v>
      </c>
      <c r="W55">
        <v>75</v>
      </c>
      <c r="X55">
        <v>0.1</v>
      </c>
      <c r="Y55">
        <v>80000</v>
      </c>
      <c r="Z55">
        <v>8600</v>
      </c>
      <c r="AA55">
        <v>3.8</v>
      </c>
      <c r="AB55">
        <v>40</v>
      </c>
      <c r="AC55">
        <v>13.35</v>
      </c>
      <c r="AD55">
        <v>148.30000000000001</v>
      </c>
      <c r="AE55" t="s">
        <v>342</v>
      </c>
      <c r="AF55">
        <v>5</v>
      </c>
      <c r="AG55">
        <v>40</v>
      </c>
    </row>
    <row r="56" spans="1:33" x14ac:dyDescent="0.2">
      <c r="A56" t="s">
        <v>349</v>
      </c>
      <c r="B56" t="s">
        <v>409</v>
      </c>
      <c r="C56" t="s">
        <v>264</v>
      </c>
      <c r="F56">
        <v>1000</v>
      </c>
      <c r="H56" t="s">
        <v>341</v>
      </c>
      <c r="I56" s="17"/>
      <c r="O56">
        <v>4.5</v>
      </c>
      <c r="P56" s="18">
        <f t="shared" si="1"/>
        <v>50.425818018825638</v>
      </c>
      <c r="Q56" s="18"/>
      <c r="R56" s="19"/>
      <c r="T56">
        <v>66.7</v>
      </c>
      <c r="AB56">
        <v>30</v>
      </c>
      <c r="AC56">
        <v>18</v>
      </c>
      <c r="AD56">
        <v>200</v>
      </c>
    </row>
    <row r="57" spans="1:33" x14ac:dyDescent="0.2">
      <c r="A57" t="s">
        <v>410</v>
      </c>
      <c r="B57" t="s">
        <v>411</v>
      </c>
      <c r="C57" t="s">
        <v>264</v>
      </c>
      <c r="D57">
        <v>300</v>
      </c>
      <c r="E57">
        <v>800</v>
      </c>
      <c r="F57">
        <v>1000</v>
      </c>
      <c r="G57">
        <v>10</v>
      </c>
      <c r="H57" t="s">
        <v>348</v>
      </c>
      <c r="I57" s="17">
        <v>7.0000000000000007E-2</v>
      </c>
      <c r="J57">
        <v>20</v>
      </c>
      <c r="K57" t="s">
        <v>343</v>
      </c>
      <c r="L57">
        <v>8568</v>
      </c>
      <c r="M57">
        <v>-20</v>
      </c>
      <c r="N57">
        <v>45</v>
      </c>
      <c r="O57">
        <v>4.8</v>
      </c>
      <c r="P57" s="18">
        <f t="shared" si="1"/>
        <v>53.787539220080681</v>
      </c>
      <c r="Q57" s="18"/>
      <c r="R57" s="19">
        <v>0.33</v>
      </c>
      <c r="S57">
        <v>80</v>
      </c>
      <c r="T57">
        <v>62.5</v>
      </c>
      <c r="U57">
        <v>95.5</v>
      </c>
      <c r="V57">
        <v>40</v>
      </c>
      <c r="W57">
        <v>90</v>
      </c>
      <c r="X57">
        <v>5</v>
      </c>
      <c r="Y57">
        <v>70000</v>
      </c>
      <c r="Z57">
        <v>70000</v>
      </c>
      <c r="AA57">
        <v>2.7</v>
      </c>
      <c r="AB57">
        <v>1</v>
      </c>
      <c r="AC57">
        <v>16.82</v>
      </c>
      <c r="AD57">
        <v>186.9</v>
      </c>
      <c r="AE57" t="s">
        <v>343</v>
      </c>
      <c r="AF57">
        <v>5</v>
      </c>
      <c r="AG57">
        <v>750</v>
      </c>
    </row>
    <row r="58" spans="1:33" x14ac:dyDescent="0.2">
      <c r="A58" t="s">
        <v>354</v>
      </c>
      <c r="B58" t="s">
        <v>412</v>
      </c>
      <c r="C58" t="s">
        <v>264</v>
      </c>
      <c r="D58">
        <v>30</v>
      </c>
      <c r="E58">
        <v>1008</v>
      </c>
      <c r="F58">
        <v>1008</v>
      </c>
      <c r="G58">
        <v>400</v>
      </c>
      <c r="H58" t="s">
        <v>348</v>
      </c>
      <c r="I58" s="17"/>
      <c r="K58" t="s">
        <v>342</v>
      </c>
      <c r="M58">
        <v>-15</v>
      </c>
      <c r="N58">
        <v>45</v>
      </c>
      <c r="O58">
        <v>4.8</v>
      </c>
      <c r="P58" s="18">
        <f t="shared" si="1"/>
        <v>53.787539220080681</v>
      </c>
      <c r="Q58" s="18"/>
      <c r="R58" s="19">
        <v>0.32738095238095238</v>
      </c>
      <c r="T58">
        <v>62.5</v>
      </c>
      <c r="V58">
        <v>20</v>
      </c>
      <c r="W58">
        <v>55</v>
      </c>
      <c r="X58">
        <v>5</v>
      </c>
      <c r="Y58">
        <v>35000</v>
      </c>
      <c r="AA58">
        <v>3</v>
      </c>
      <c r="AB58">
        <v>35</v>
      </c>
      <c r="AC58">
        <v>18.7</v>
      </c>
      <c r="AD58">
        <v>207.8</v>
      </c>
      <c r="AE58" t="s">
        <v>343</v>
      </c>
      <c r="AF58">
        <v>5</v>
      </c>
      <c r="AG58">
        <v>35</v>
      </c>
    </row>
    <row r="59" spans="1:33" x14ac:dyDescent="0.2">
      <c r="A59" t="s">
        <v>382</v>
      </c>
      <c r="B59" t="s">
        <v>413</v>
      </c>
      <c r="C59" t="s">
        <v>340</v>
      </c>
      <c r="D59">
        <v>49</v>
      </c>
      <c r="F59">
        <v>988</v>
      </c>
      <c r="H59" t="s">
        <v>348</v>
      </c>
      <c r="I59" s="17">
        <v>0.20040485829959509</v>
      </c>
      <c r="K59" t="s">
        <v>342</v>
      </c>
      <c r="M59">
        <v>-20</v>
      </c>
      <c r="N59">
        <v>40</v>
      </c>
      <c r="O59">
        <v>3.95</v>
      </c>
      <c r="P59" s="18">
        <f t="shared" si="1"/>
        <v>44.262662483191392</v>
      </c>
      <c r="Q59" s="18"/>
      <c r="R59" s="19"/>
      <c r="T59">
        <v>75.900000000000006</v>
      </c>
      <c r="AA59">
        <v>4.8</v>
      </c>
      <c r="AB59">
        <v>30</v>
      </c>
      <c r="AC59">
        <v>22.46</v>
      </c>
      <c r="AD59">
        <v>249.5</v>
      </c>
      <c r="AE59" t="s">
        <v>342</v>
      </c>
    </row>
    <row r="60" spans="1:33" x14ac:dyDescent="0.2">
      <c r="A60" t="s">
        <v>414</v>
      </c>
      <c r="B60" t="s">
        <v>415</v>
      </c>
      <c r="C60" t="s">
        <v>340</v>
      </c>
      <c r="F60">
        <v>1000</v>
      </c>
      <c r="G60">
        <v>400</v>
      </c>
      <c r="H60" t="s">
        <v>348</v>
      </c>
      <c r="I60" s="17"/>
      <c r="J60">
        <v>30</v>
      </c>
      <c r="M60">
        <v>-20</v>
      </c>
      <c r="N60">
        <v>40</v>
      </c>
      <c r="O60">
        <v>4.49</v>
      </c>
      <c r="P60" s="18">
        <f t="shared" si="1"/>
        <v>50.313760645450472</v>
      </c>
      <c r="Q60" s="18"/>
      <c r="R60" s="19"/>
      <c r="T60">
        <v>66.8</v>
      </c>
      <c r="Y60">
        <v>80000</v>
      </c>
      <c r="AA60">
        <v>5</v>
      </c>
      <c r="AB60">
        <v>40</v>
      </c>
      <c r="AC60">
        <v>18</v>
      </c>
      <c r="AD60">
        <v>200</v>
      </c>
    </row>
    <row r="61" spans="1:33" x14ac:dyDescent="0.2">
      <c r="A61" t="s">
        <v>394</v>
      </c>
      <c r="B61" t="s">
        <v>416</v>
      </c>
      <c r="C61" t="s">
        <v>340</v>
      </c>
      <c r="F61">
        <v>1000</v>
      </c>
      <c r="G61">
        <v>400</v>
      </c>
      <c r="I61" s="17">
        <v>5.28E-2</v>
      </c>
      <c r="J61">
        <v>30</v>
      </c>
      <c r="M61">
        <v>-20</v>
      </c>
      <c r="N61">
        <v>40</v>
      </c>
      <c r="O61">
        <v>4.7</v>
      </c>
      <c r="P61">
        <v>53</v>
      </c>
      <c r="R61" s="19">
        <v>0.17</v>
      </c>
      <c r="S61">
        <v>57</v>
      </c>
      <c r="T61">
        <v>62.9</v>
      </c>
      <c r="U61">
        <v>90</v>
      </c>
      <c r="AA61">
        <v>5</v>
      </c>
      <c r="AB61">
        <v>30</v>
      </c>
      <c r="AD61">
        <v>200</v>
      </c>
    </row>
    <row r="62" spans="1:33" x14ac:dyDescent="0.2">
      <c r="A62" t="s">
        <v>417</v>
      </c>
      <c r="B62" t="s">
        <v>418</v>
      </c>
      <c r="C62" t="s">
        <v>340</v>
      </c>
      <c r="D62">
        <v>50</v>
      </c>
      <c r="E62">
        <v>1000</v>
      </c>
      <c r="F62">
        <v>1000</v>
      </c>
      <c r="G62">
        <v>400</v>
      </c>
      <c r="H62" t="s">
        <v>356</v>
      </c>
      <c r="I62" s="17">
        <v>4.4999999999999998E-2</v>
      </c>
      <c r="J62">
        <v>30</v>
      </c>
      <c r="K62" t="s">
        <v>342</v>
      </c>
      <c r="L62">
        <v>8322</v>
      </c>
      <c r="M62">
        <v>-20</v>
      </c>
      <c r="N62">
        <v>40</v>
      </c>
      <c r="O62">
        <v>4.4000000000000004</v>
      </c>
      <c r="P62" s="18">
        <f>((1000*O62)/0.08924)/1000</f>
        <v>49.305244285073961</v>
      </c>
      <c r="Q62" s="18"/>
      <c r="R62" s="19"/>
      <c r="S62">
        <v>60</v>
      </c>
      <c r="X62">
        <v>0.1</v>
      </c>
      <c r="AA62">
        <v>3.5</v>
      </c>
      <c r="AC62">
        <v>18</v>
      </c>
      <c r="AD62">
        <v>200</v>
      </c>
      <c r="AE62" t="s">
        <v>343</v>
      </c>
      <c r="AF62">
        <v>5</v>
      </c>
      <c r="AG62">
        <v>30</v>
      </c>
    </row>
    <row r="63" spans="1:33" x14ac:dyDescent="0.2">
      <c r="A63" t="s">
        <v>346</v>
      </c>
      <c r="B63" t="s">
        <v>419</v>
      </c>
      <c r="C63" t="s">
        <v>264</v>
      </c>
      <c r="D63">
        <v>30</v>
      </c>
      <c r="E63">
        <v>1008</v>
      </c>
      <c r="F63">
        <v>1058</v>
      </c>
      <c r="G63">
        <v>400</v>
      </c>
      <c r="H63" t="s">
        <v>348</v>
      </c>
      <c r="I63" s="17">
        <v>2.8071833648393191E-2</v>
      </c>
      <c r="J63">
        <v>3</v>
      </c>
      <c r="K63" t="s">
        <v>343</v>
      </c>
      <c r="M63">
        <v>5</v>
      </c>
      <c r="N63">
        <v>45</v>
      </c>
      <c r="O63">
        <v>4.8</v>
      </c>
      <c r="P63" s="18">
        <f>((1000*O63)/0.08924)/1000</f>
        <v>53.787539220080681</v>
      </c>
      <c r="Q63" s="18"/>
      <c r="R63" s="19"/>
      <c r="T63">
        <v>62.5</v>
      </c>
      <c r="V63">
        <v>20</v>
      </c>
      <c r="W63">
        <v>55</v>
      </c>
      <c r="X63">
        <v>20</v>
      </c>
      <c r="Y63">
        <v>35000</v>
      </c>
      <c r="AA63">
        <v>3</v>
      </c>
      <c r="AB63">
        <v>35</v>
      </c>
      <c r="AC63">
        <v>18.75</v>
      </c>
      <c r="AD63">
        <v>208.3</v>
      </c>
      <c r="AE63" t="s">
        <v>343</v>
      </c>
    </row>
    <row r="64" spans="1:33" x14ac:dyDescent="0.2">
      <c r="A64" t="s">
        <v>420</v>
      </c>
      <c r="B64" t="s">
        <v>421</v>
      </c>
      <c r="C64" t="s">
        <v>266</v>
      </c>
      <c r="F64">
        <v>1100</v>
      </c>
      <c r="G64">
        <v>480</v>
      </c>
      <c r="H64" t="s">
        <v>348</v>
      </c>
      <c r="I64" s="17">
        <v>4.2237818181818189E-2</v>
      </c>
      <c r="P64">
        <v>43.8</v>
      </c>
      <c r="R64" s="19"/>
      <c r="T64" s="20">
        <f>(120/(P64*3.6))*100</f>
        <v>76.103500761035008</v>
      </c>
      <c r="AB64">
        <v>1.4</v>
      </c>
      <c r="AC64">
        <f>600/24</f>
        <v>25</v>
      </c>
    </row>
    <row r="65" spans="1:33" x14ac:dyDescent="0.2">
      <c r="A65" t="s">
        <v>420</v>
      </c>
      <c r="B65" t="s">
        <v>421</v>
      </c>
      <c r="C65" t="s">
        <v>267</v>
      </c>
      <c r="F65">
        <v>1100</v>
      </c>
      <c r="G65">
        <v>480</v>
      </c>
      <c r="H65" t="s">
        <v>348</v>
      </c>
      <c r="I65" s="17">
        <v>4.2237818181818189E-2</v>
      </c>
      <c r="P65">
        <v>39.4</v>
      </c>
      <c r="Q65">
        <f>(P64-P65)*3.6</f>
        <v>15.839999999999995</v>
      </c>
      <c r="R65" s="19"/>
      <c r="T65" s="20">
        <f>(120/(P65*3.6))*100</f>
        <v>84.602368866328263</v>
      </c>
      <c r="AB65">
        <v>1.4</v>
      </c>
      <c r="AC65">
        <f>600/24</f>
        <v>25</v>
      </c>
    </row>
    <row r="66" spans="1:33" x14ac:dyDescent="0.2">
      <c r="A66" t="s">
        <v>365</v>
      </c>
      <c r="B66" t="s">
        <v>422</v>
      </c>
      <c r="C66" t="s">
        <v>340</v>
      </c>
      <c r="D66">
        <v>100</v>
      </c>
      <c r="E66">
        <v>1000</v>
      </c>
      <c r="F66">
        <v>1100</v>
      </c>
      <c r="G66">
        <v>400</v>
      </c>
      <c r="H66" t="s">
        <v>348</v>
      </c>
      <c r="I66" s="17">
        <v>2.7272727272727271E-2</v>
      </c>
      <c r="J66">
        <v>3</v>
      </c>
      <c r="K66" t="s">
        <v>342</v>
      </c>
      <c r="L66">
        <v>8410</v>
      </c>
      <c r="M66">
        <v>-15</v>
      </c>
      <c r="N66">
        <v>40</v>
      </c>
      <c r="O66">
        <v>4.87</v>
      </c>
      <c r="P66" s="18">
        <f>((1000*O66)/0.08924)/1000</f>
        <v>54.571940833706861</v>
      </c>
      <c r="Q66" s="18"/>
      <c r="R66" s="19"/>
      <c r="T66">
        <v>61.6</v>
      </c>
      <c r="V66">
        <v>5</v>
      </c>
      <c r="W66">
        <v>70</v>
      </c>
      <c r="X66">
        <v>1</v>
      </c>
      <c r="Y66">
        <v>80000</v>
      </c>
      <c r="AA66">
        <v>3.5</v>
      </c>
      <c r="AB66">
        <v>40</v>
      </c>
      <c r="AC66">
        <v>18</v>
      </c>
      <c r="AD66">
        <v>200</v>
      </c>
      <c r="AE66" t="s">
        <v>342</v>
      </c>
    </row>
    <row r="67" spans="1:33" x14ac:dyDescent="0.2">
      <c r="A67" t="s">
        <v>379</v>
      </c>
      <c r="B67" t="s">
        <v>423</v>
      </c>
      <c r="C67" t="s">
        <v>340</v>
      </c>
      <c r="D67">
        <v>131</v>
      </c>
      <c r="E67">
        <v>1100</v>
      </c>
      <c r="F67">
        <v>1155</v>
      </c>
      <c r="G67">
        <v>400</v>
      </c>
      <c r="H67" t="s">
        <v>348</v>
      </c>
      <c r="I67" s="17">
        <v>4.7619047619047623E-2</v>
      </c>
      <c r="J67">
        <v>40</v>
      </c>
      <c r="K67" t="s">
        <v>343</v>
      </c>
      <c r="L67">
        <v>8600</v>
      </c>
      <c r="M67">
        <v>-20</v>
      </c>
      <c r="N67">
        <v>40</v>
      </c>
      <c r="R67" s="19"/>
      <c r="AB67">
        <v>30</v>
      </c>
      <c r="AC67">
        <v>20</v>
      </c>
      <c r="AD67">
        <v>222.2</v>
      </c>
      <c r="AE67" t="s">
        <v>343</v>
      </c>
    </row>
    <row r="68" spans="1:33" x14ac:dyDescent="0.2">
      <c r="A68" t="s">
        <v>372</v>
      </c>
      <c r="B68" t="s">
        <v>424</v>
      </c>
      <c r="C68" t="s">
        <v>340</v>
      </c>
      <c r="D68">
        <v>200</v>
      </c>
      <c r="E68">
        <v>1000</v>
      </c>
      <c r="F68">
        <v>1200</v>
      </c>
      <c r="G68">
        <v>400</v>
      </c>
      <c r="H68" t="s">
        <v>356</v>
      </c>
      <c r="I68" s="17">
        <v>2.3333333333333331E-2</v>
      </c>
      <c r="J68">
        <v>15</v>
      </c>
      <c r="K68" t="s">
        <v>342</v>
      </c>
      <c r="L68">
        <v>8650</v>
      </c>
      <c r="M68">
        <v>-40</v>
      </c>
      <c r="N68">
        <v>35</v>
      </c>
      <c r="O68">
        <v>4.8</v>
      </c>
      <c r="P68" s="18">
        <f>((1000*O68)/0.08924)/1000</f>
        <v>53.787539220080681</v>
      </c>
      <c r="Q68" s="18"/>
      <c r="R68" s="19">
        <v>0.16666666666666671</v>
      </c>
      <c r="S68">
        <v>62</v>
      </c>
      <c r="T68">
        <v>62.5</v>
      </c>
      <c r="V68">
        <v>25</v>
      </c>
      <c r="W68">
        <v>75</v>
      </c>
      <c r="X68">
        <v>0.1</v>
      </c>
      <c r="Y68">
        <v>80000</v>
      </c>
      <c r="Z68">
        <v>8600</v>
      </c>
      <c r="AA68">
        <v>3.8</v>
      </c>
      <c r="AB68">
        <v>40</v>
      </c>
      <c r="AC68">
        <v>17.8</v>
      </c>
      <c r="AD68">
        <v>197.8</v>
      </c>
      <c r="AE68" t="s">
        <v>342</v>
      </c>
      <c r="AF68">
        <v>5</v>
      </c>
      <c r="AG68">
        <v>40</v>
      </c>
    </row>
    <row r="69" spans="1:33" x14ac:dyDescent="0.2">
      <c r="A69" t="s">
        <v>403</v>
      </c>
      <c r="B69" t="s">
        <v>425</v>
      </c>
      <c r="C69" t="s">
        <v>340</v>
      </c>
      <c r="F69">
        <v>1390</v>
      </c>
      <c r="G69">
        <v>11000</v>
      </c>
      <c r="H69" t="s">
        <v>348</v>
      </c>
      <c r="I69" s="17"/>
      <c r="K69" t="s">
        <v>342</v>
      </c>
      <c r="R69" s="19"/>
      <c r="AA69">
        <v>5</v>
      </c>
      <c r="AB69">
        <v>20</v>
      </c>
      <c r="AC69">
        <v>22</v>
      </c>
      <c r="AD69">
        <v>244.4</v>
      </c>
      <c r="AE69" t="s">
        <v>342</v>
      </c>
    </row>
    <row r="70" spans="1:33" x14ac:dyDescent="0.2">
      <c r="A70" t="s">
        <v>394</v>
      </c>
      <c r="B70" t="s">
        <v>426</v>
      </c>
      <c r="C70" t="s">
        <v>340</v>
      </c>
      <c r="D70">
        <v>200</v>
      </c>
      <c r="E70">
        <v>1000</v>
      </c>
      <c r="F70">
        <v>1400</v>
      </c>
      <c r="G70">
        <v>568</v>
      </c>
      <c r="H70" t="s">
        <v>348</v>
      </c>
      <c r="I70" s="17">
        <v>0.02</v>
      </c>
      <c r="J70">
        <v>30</v>
      </c>
      <c r="K70" t="s">
        <v>342</v>
      </c>
      <c r="L70">
        <v>8322</v>
      </c>
      <c r="M70">
        <v>-20</v>
      </c>
      <c r="N70">
        <v>40</v>
      </c>
      <c r="R70" s="19"/>
      <c r="X70">
        <v>0.1</v>
      </c>
      <c r="AA70">
        <v>5</v>
      </c>
      <c r="AB70">
        <v>30</v>
      </c>
      <c r="AC70">
        <v>18.899999999999999</v>
      </c>
      <c r="AD70">
        <v>210</v>
      </c>
      <c r="AE70" t="s">
        <v>342</v>
      </c>
    </row>
    <row r="71" spans="1:33" x14ac:dyDescent="0.2">
      <c r="A71" t="s">
        <v>365</v>
      </c>
      <c r="B71" t="s">
        <v>427</v>
      </c>
      <c r="C71" t="s">
        <v>264</v>
      </c>
      <c r="D71">
        <v>300</v>
      </c>
      <c r="E71">
        <v>1200</v>
      </c>
      <c r="F71">
        <v>1500</v>
      </c>
      <c r="G71">
        <v>10</v>
      </c>
      <c r="H71" t="s">
        <v>348</v>
      </c>
      <c r="I71" s="17">
        <v>7.0000000000000007E-2</v>
      </c>
      <c r="J71">
        <v>5</v>
      </c>
      <c r="K71" t="s">
        <v>343</v>
      </c>
      <c r="L71">
        <v>8410</v>
      </c>
      <c r="M71">
        <v>-20</v>
      </c>
      <c r="N71">
        <v>45</v>
      </c>
      <c r="O71">
        <v>4.5</v>
      </c>
      <c r="P71" s="18">
        <f t="shared" ref="P71:P77" si="2">((1000*O71)/0.08924)/1000</f>
        <v>50.425818018825638</v>
      </c>
      <c r="Q71" s="18"/>
      <c r="R71" s="19">
        <v>0.33</v>
      </c>
      <c r="S71">
        <v>80</v>
      </c>
      <c r="T71">
        <v>66.7</v>
      </c>
      <c r="U71">
        <v>99.7</v>
      </c>
      <c r="V71">
        <v>40</v>
      </c>
      <c r="W71">
        <v>90</v>
      </c>
      <c r="X71">
        <v>5</v>
      </c>
      <c r="Y71">
        <v>80000</v>
      </c>
      <c r="Z71">
        <v>80000</v>
      </c>
      <c r="AA71">
        <v>3</v>
      </c>
      <c r="AB71">
        <v>30</v>
      </c>
      <c r="AC71">
        <v>25.23</v>
      </c>
      <c r="AD71">
        <v>280.3</v>
      </c>
      <c r="AE71" t="s">
        <v>343</v>
      </c>
      <c r="AF71">
        <v>5</v>
      </c>
      <c r="AG71">
        <v>750</v>
      </c>
    </row>
    <row r="72" spans="1:33" x14ac:dyDescent="0.2">
      <c r="A72" t="s">
        <v>382</v>
      </c>
      <c r="B72" t="s">
        <v>428</v>
      </c>
      <c r="C72" t="s">
        <v>340</v>
      </c>
      <c r="D72">
        <v>79</v>
      </c>
      <c r="F72">
        <v>1580</v>
      </c>
      <c r="H72" t="s">
        <v>348</v>
      </c>
      <c r="I72" s="17">
        <v>0.12531645569620251</v>
      </c>
      <c r="K72" t="s">
        <v>342</v>
      </c>
      <c r="M72">
        <v>-20</v>
      </c>
      <c r="N72">
        <v>40</v>
      </c>
      <c r="O72">
        <v>3.95</v>
      </c>
      <c r="P72" s="18">
        <f t="shared" si="2"/>
        <v>44.262662483191392</v>
      </c>
      <c r="Q72" s="18"/>
      <c r="R72" s="19"/>
      <c r="T72">
        <v>75.900000000000006</v>
      </c>
      <c r="AA72">
        <v>4.8</v>
      </c>
      <c r="AB72">
        <v>30</v>
      </c>
      <c r="AC72">
        <v>35.92</v>
      </c>
      <c r="AD72">
        <v>399.1</v>
      </c>
      <c r="AE72" t="s">
        <v>342</v>
      </c>
    </row>
    <row r="73" spans="1:33" x14ac:dyDescent="0.2">
      <c r="A73" t="s">
        <v>372</v>
      </c>
      <c r="B73" t="s">
        <v>429</v>
      </c>
      <c r="C73" t="s">
        <v>340</v>
      </c>
      <c r="D73">
        <v>200</v>
      </c>
      <c r="E73">
        <v>1500</v>
      </c>
      <c r="F73">
        <v>1800</v>
      </c>
      <c r="G73">
        <v>400</v>
      </c>
      <c r="H73" t="s">
        <v>356</v>
      </c>
      <c r="I73" s="17">
        <v>1.555555555555556E-2</v>
      </c>
      <c r="J73">
        <v>15</v>
      </c>
      <c r="K73" t="s">
        <v>342</v>
      </c>
      <c r="L73">
        <v>8650</v>
      </c>
      <c r="M73">
        <v>-40</v>
      </c>
      <c r="N73">
        <v>35</v>
      </c>
      <c r="O73">
        <v>4.8</v>
      </c>
      <c r="P73" s="18">
        <f t="shared" si="2"/>
        <v>53.787539220080681</v>
      </c>
      <c r="Q73" s="18"/>
      <c r="R73" s="19">
        <v>0.16666666666666671</v>
      </c>
      <c r="S73">
        <v>62</v>
      </c>
      <c r="T73">
        <v>62.5</v>
      </c>
      <c r="V73">
        <v>25</v>
      </c>
      <c r="W73">
        <v>75</v>
      </c>
      <c r="X73">
        <v>0.1</v>
      </c>
      <c r="Y73">
        <v>80000</v>
      </c>
      <c r="Z73">
        <v>8600</v>
      </c>
      <c r="AA73">
        <v>3.8</v>
      </c>
      <c r="AB73">
        <v>40</v>
      </c>
      <c r="AC73">
        <v>26.7</v>
      </c>
      <c r="AD73">
        <v>296.7</v>
      </c>
      <c r="AE73" t="s">
        <v>342</v>
      </c>
      <c r="AF73">
        <v>5</v>
      </c>
      <c r="AG73">
        <v>40</v>
      </c>
    </row>
    <row r="74" spans="1:33" x14ac:dyDescent="0.2">
      <c r="A74" t="s">
        <v>382</v>
      </c>
      <c r="B74" t="s">
        <v>430</v>
      </c>
      <c r="C74" t="s">
        <v>340</v>
      </c>
      <c r="D74">
        <v>99</v>
      </c>
      <c r="F74">
        <v>1975</v>
      </c>
      <c r="H74" t="s">
        <v>348</v>
      </c>
      <c r="I74" s="17">
        <v>0.100253164556962</v>
      </c>
      <c r="K74" t="s">
        <v>342</v>
      </c>
      <c r="M74">
        <v>-20</v>
      </c>
      <c r="N74">
        <v>40</v>
      </c>
      <c r="O74">
        <v>3.95</v>
      </c>
      <c r="P74" s="18">
        <f t="shared" si="2"/>
        <v>44.262662483191392</v>
      </c>
      <c r="Q74" s="18"/>
      <c r="R74" s="19"/>
      <c r="T74">
        <v>75.900000000000006</v>
      </c>
      <c r="AA74">
        <v>4.8</v>
      </c>
      <c r="AB74">
        <v>30</v>
      </c>
      <c r="AC74">
        <v>45</v>
      </c>
      <c r="AD74">
        <v>500</v>
      </c>
      <c r="AE74" t="s">
        <v>342</v>
      </c>
    </row>
    <row r="75" spans="1:33" x14ac:dyDescent="0.2">
      <c r="A75" t="s">
        <v>431</v>
      </c>
      <c r="B75" t="s">
        <v>432</v>
      </c>
      <c r="C75" t="s">
        <v>340</v>
      </c>
      <c r="D75">
        <v>200</v>
      </c>
      <c r="E75">
        <v>2000</v>
      </c>
      <c r="F75">
        <v>2000</v>
      </c>
      <c r="G75">
        <v>400</v>
      </c>
      <c r="H75" t="s">
        <v>348</v>
      </c>
      <c r="I75" s="17">
        <v>0.15</v>
      </c>
      <c r="J75">
        <v>1</v>
      </c>
      <c r="K75" t="s">
        <v>342</v>
      </c>
      <c r="L75">
        <v>8600</v>
      </c>
      <c r="M75">
        <v>-20</v>
      </c>
      <c r="N75">
        <v>35</v>
      </c>
      <c r="O75">
        <v>4.5</v>
      </c>
      <c r="P75" s="18">
        <f t="shared" si="2"/>
        <v>50.425818018825638</v>
      </c>
      <c r="Q75" s="18"/>
      <c r="R75" s="19"/>
      <c r="T75">
        <v>66.7</v>
      </c>
      <c r="Y75">
        <v>80000</v>
      </c>
      <c r="AA75">
        <v>5</v>
      </c>
      <c r="AB75">
        <v>35</v>
      </c>
      <c r="AC75">
        <v>36</v>
      </c>
      <c r="AD75">
        <v>400</v>
      </c>
      <c r="AE75" t="s">
        <v>342</v>
      </c>
    </row>
    <row r="76" spans="1:33" x14ac:dyDescent="0.2">
      <c r="A76" t="s">
        <v>349</v>
      </c>
      <c r="B76" t="s">
        <v>433</v>
      </c>
      <c r="C76" t="s">
        <v>264</v>
      </c>
      <c r="F76">
        <v>2000</v>
      </c>
      <c r="H76" t="s">
        <v>341</v>
      </c>
      <c r="I76" s="17"/>
      <c r="O76">
        <v>4.5</v>
      </c>
      <c r="P76" s="18">
        <f t="shared" si="2"/>
        <v>50.425818018825638</v>
      </c>
      <c r="Q76" s="18"/>
      <c r="R76" s="19"/>
      <c r="T76">
        <v>66.7</v>
      </c>
      <c r="AB76">
        <v>30</v>
      </c>
      <c r="AC76">
        <v>36</v>
      </c>
      <c r="AD76">
        <v>400</v>
      </c>
    </row>
    <row r="77" spans="1:33" x14ac:dyDescent="0.2">
      <c r="A77" t="s">
        <v>410</v>
      </c>
      <c r="B77" t="s">
        <v>434</v>
      </c>
      <c r="C77" t="s">
        <v>264</v>
      </c>
      <c r="D77">
        <v>300</v>
      </c>
      <c r="E77">
        <v>1600</v>
      </c>
      <c r="F77">
        <v>2000</v>
      </c>
      <c r="G77">
        <v>10</v>
      </c>
      <c r="H77" t="s">
        <v>348</v>
      </c>
      <c r="I77" s="17">
        <v>5.2499999999999998E-2</v>
      </c>
      <c r="J77">
        <v>20</v>
      </c>
      <c r="K77" t="s">
        <v>343</v>
      </c>
      <c r="L77">
        <v>8568</v>
      </c>
      <c r="M77">
        <v>-20</v>
      </c>
      <c r="N77">
        <v>45</v>
      </c>
      <c r="O77">
        <v>4.8</v>
      </c>
      <c r="P77" s="18">
        <f t="shared" si="2"/>
        <v>53.787539220080681</v>
      </c>
      <c r="Q77" s="18"/>
      <c r="R77" s="19">
        <v>0.33</v>
      </c>
      <c r="S77">
        <v>80</v>
      </c>
      <c r="T77">
        <v>62.5</v>
      </c>
      <c r="U77">
        <v>95.5</v>
      </c>
      <c r="V77">
        <v>40</v>
      </c>
      <c r="W77">
        <v>90</v>
      </c>
      <c r="X77">
        <v>5</v>
      </c>
      <c r="Y77">
        <v>70000</v>
      </c>
      <c r="Z77">
        <v>70000</v>
      </c>
      <c r="AA77">
        <v>2.7</v>
      </c>
      <c r="AB77">
        <v>1</v>
      </c>
      <c r="AC77">
        <v>33.64</v>
      </c>
      <c r="AD77">
        <v>373.8</v>
      </c>
      <c r="AE77" t="s">
        <v>343</v>
      </c>
      <c r="AF77">
        <v>5</v>
      </c>
      <c r="AG77">
        <v>750</v>
      </c>
    </row>
    <row r="78" spans="1:33" x14ac:dyDescent="0.2">
      <c r="A78" t="s">
        <v>403</v>
      </c>
      <c r="B78" t="s">
        <v>435</v>
      </c>
      <c r="C78" t="s">
        <v>340</v>
      </c>
      <c r="F78">
        <v>2350</v>
      </c>
      <c r="G78">
        <v>11000</v>
      </c>
      <c r="H78" t="s">
        <v>348</v>
      </c>
      <c r="I78" s="17"/>
      <c r="K78" t="s">
        <v>342</v>
      </c>
      <c r="R78" s="19"/>
      <c r="AA78">
        <v>5</v>
      </c>
      <c r="AB78">
        <v>20</v>
      </c>
      <c r="AC78">
        <v>36</v>
      </c>
      <c r="AD78">
        <v>400</v>
      </c>
      <c r="AE78" t="s">
        <v>342</v>
      </c>
    </row>
    <row r="79" spans="1:33" x14ac:dyDescent="0.2">
      <c r="A79" t="s">
        <v>372</v>
      </c>
      <c r="B79" t="s">
        <v>436</v>
      </c>
      <c r="C79" t="s">
        <v>340</v>
      </c>
      <c r="D79">
        <v>200</v>
      </c>
      <c r="E79">
        <v>2000</v>
      </c>
      <c r="F79">
        <v>2400</v>
      </c>
      <c r="G79">
        <v>400</v>
      </c>
      <c r="H79" t="s">
        <v>356</v>
      </c>
      <c r="I79" s="17">
        <v>1.1666666666666671E-2</v>
      </c>
      <c r="J79">
        <v>15</v>
      </c>
      <c r="K79" t="s">
        <v>342</v>
      </c>
      <c r="L79">
        <v>8650</v>
      </c>
      <c r="M79">
        <v>-40</v>
      </c>
      <c r="N79">
        <v>35</v>
      </c>
      <c r="O79">
        <v>4.8</v>
      </c>
      <c r="P79" s="18">
        <f>((1000*O79)/0.08924)/1000</f>
        <v>53.787539220080681</v>
      </c>
      <c r="Q79" s="18"/>
      <c r="R79" s="19">
        <v>0.16666666666666671</v>
      </c>
      <c r="S79">
        <v>62</v>
      </c>
      <c r="T79">
        <v>62.5</v>
      </c>
      <c r="V79">
        <v>25</v>
      </c>
      <c r="W79">
        <v>75</v>
      </c>
      <c r="X79">
        <v>0.1</v>
      </c>
      <c r="Y79">
        <v>80000</v>
      </c>
      <c r="Z79">
        <v>8600</v>
      </c>
      <c r="AA79">
        <v>3.8</v>
      </c>
      <c r="AB79">
        <v>40</v>
      </c>
      <c r="AC79">
        <v>35.6</v>
      </c>
      <c r="AD79">
        <v>395.6</v>
      </c>
      <c r="AE79" t="s">
        <v>342</v>
      </c>
      <c r="AF79">
        <v>5</v>
      </c>
      <c r="AG79">
        <v>40</v>
      </c>
    </row>
    <row r="80" spans="1:33" x14ac:dyDescent="0.2">
      <c r="A80" t="s">
        <v>437</v>
      </c>
      <c r="B80" t="s">
        <v>438</v>
      </c>
      <c r="C80" t="s">
        <v>267</v>
      </c>
      <c r="D80">
        <v>135</v>
      </c>
      <c r="F80">
        <v>2475</v>
      </c>
      <c r="H80" t="s">
        <v>348</v>
      </c>
      <c r="I80" s="17">
        <v>0.1212121212121212</v>
      </c>
      <c r="M80">
        <v>-20</v>
      </c>
      <c r="N80">
        <v>40</v>
      </c>
      <c r="O80">
        <v>3.6</v>
      </c>
      <c r="P80" s="18">
        <f>((1000*O80)/0.08924)/1000</f>
        <v>40.340654415060513</v>
      </c>
      <c r="Q80" s="18">
        <v>16</v>
      </c>
      <c r="R80" s="19"/>
      <c r="T80" s="20">
        <f>(120/(P80*3.6))*100</f>
        <v>82.629629629629633</v>
      </c>
      <c r="AB80">
        <v>4.5</v>
      </c>
      <c r="AC80">
        <v>67.5</v>
      </c>
      <c r="AD80">
        <v>750</v>
      </c>
    </row>
    <row r="81" spans="1:33" x14ac:dyDescent="0.2">
      <c r="A81" t="s">
        <v>417</v>
      </c>
      <c r="B81" t="s">
        <v>439</v>
      </c>
      <c r="C81" t="s">
        <v>340</v>
      </c>
      <c r="D81">
        <v>125</v>
      </c>
      <c r="E81">
        <v>2500</v>
      </c>
      <c r="F81">
        <v>2500</v>
      </c>
      <c r="G81">
        <v>400</v>
      </c>
      <c r="H81" t="s">
        <v>356</v>
      </c>
      <c r="I81" s="17">
        <v>2.4E-2</v>
      </c>
      <c r="J81">
        <v>30</v>
      </c>
      <c r="K81" t="s">
        <v>342</v>
      </c>
      <c r="L81">
        <v>8322</v>
      </c>
      <c r="M81">
        <v>-20</v>
      </c>
      <c r="N81">
        <v>40</v>
      </c>
      <c r="R81" s="19"/>
      <c r="S81">
        <v>60</v>
      </c>
      <c r="X81">
        <v>0.1</v>
      </c>
      <c r="AA81">
        <v>3.5</v>
      </c>
      <c r="AC81">
        <v>45</v>
      </c>
      <c r="AD81">
        <v>500</v>
      </c>
      <c r="AE81" t="s">
        <v>343</v>
      </c>
      <c r="AF81">
        <v>5</v>
      </c>
      <c r="AG81">
        <v>30</v>
      </c>
    </row>
    <row r="82" spans="1:33" x14ac:dyDescent="0.2">
      <c r="A82" t="s">
        <v>410</v>
      </c>
      <c r="B82" t="s">
        <v>440</v>
      </c>
      <c r="C82" t="s">
        <v>264</v>
      </c>
      <c r="D82">
        <v>300</v>
      </c>
      <c r="E82">
        <v>2400</v>
      </c>
      <c r="F82">
        <v>3000</v>
      </c>
      <c r="G82">
        <v>10</v>
      </c>
      <c r="H82" t="s">
        <v>348</v>
      </c>
      <c r="I82" s="17">
        <v>3.5000000000000003E-2</v>
      </c>
      <c r="J82">
        <v>5</v>
      </c>
      <c r="K82" t="s">
        <v>343</v>
      </c>
      <c r="L82">
        <v>8568</v>
      </c>
      <c r="M82">
        <v>-20</v>
      </c>
      <c r="N82">
        <v>45</v>
      </c>
      <c r="O82">
        <v>4.5</v>
      </c>
      <c r="P82" s="18">
        <f t="shared" ref="P82:P87" si="3">((1000*O82)/0.08924)/1000</f>
        <v>50.425818018825638</v>
      </c>
      <c r="Q82" s="18"/>
      <c r="R82" s="19">
        <v>0.33</v>
      </c>
      <c r="S82">
        <v>80</v>
      </c>
      <c r="T82">
        <v>66.7</v>
      </c>
      <c r="U82">
        <v>99.7</v>
      </c>
      <c r="V82">
        <v>40</v>
      </c>
      <c r="W82">
        <v>90</v>
      </c>
      <c r="X82">
        <v>5</v>
      </c>
      <c r="Y82">
        <v>80000</v>
      </c>
      <c r="Z82">
        <v>80000</v>
      </c>
      <c r="AA82">
        <v>3</v>
      </c>
      <c r="AB82">
        <v>30</v>
      </c>
      <c r="AC82">
        <v>50.46</v>
      </c>
      <c r="AD82">
        <v>560.70000000000005</v>
      </c>
      <c r="AE82" t="s">
        <v>343</v>
      </c>
      <c r="AF82">
        <v>5</v>
      </c>
      <c r="AG82">
        <v>750</v>
      </c>
    </row>
    <row r="83" spans="1:33" x14ac:dyDescent="0.2">
      <c r="A83" t="s">
        <v>431</v>
      </c>
      <c r="B83" t="s">
        <v>441</v>
      </c>
      <c r="C83" t="s">
        <v>340</v>
      </c>
      <c r="D83">
        <v>300</v>
      </c>
      <c r="E83">
        <v>3000</v>
      </c>
      <c r="F83">
        <v>3000</v>
      </c>
      <c r="G83">
        <v>400</v>
      </c>
      <c r="H83" t="s">
        <v>348</v>
      </c>
      <c r="I83" s="17">
        <v>0.1</v>
      </c>
      <c r="J83">
        <v>1</v>
      </c>
      <c r="K83" t="s">
        <v>342</v>
      </c>
      <c r="L83">
        <v>8600</v>
      </c>
      <c r="M83">
        <v>-20</v>
      </c>
      <c r="N83">
        <v>35</v>
      </c>
      <c r="O83">
        <v>4.5</v>
      </c>
      <c r="P83" s="18">
        <f t="shared" si="3"/>
        <v>50.425818018825638</v>
      </c>
      <c r="Q83" s="18"/>
      <c r="R83" s="19"/>
      <c r="T83">
        <v>66.7</v>
      </c>
      <c r="Y83">
        <v>80000</v>
      </c>
      <c r="AA83">
        <v>5</v>
      </c>
      <c r="AB83">
        <v>35</v>
      </c>
      <c r="AC83">
        <v>54</v>
      </c>
      <c r="AD83">
        <v>600</v>
      </c>
      <c r="AE83" t="s">
        <v>342</v>
      </c>
    </row>
    <row r="84" spans="1:33" x14ac:dyDescent="0.2">
      <c r="A84" t="s">
        <v>431</v>
      </c>
      <c r="B84" t="s">
        <v>442</v>
      </c>
      <c r="C84" t="s">
        <v>340</v>
      </c>
      <c r="D84">
        <v>400</v>
      </c>
      <c r="E84">
        <v>4000</v>
      </c>
      <c r="F84">
        <v>4000</v>
      </c>
      <c r="G84">
        <v>400</v>
      </c>
      <c r="H84" t="s">
        <v>348</v>
      </c>
      <c r="I84" s="17">
        <v>0.1</v>
      </c>
      <c r="J84">
        <v>1</v>
      </c>
      <c r="K84" t="s">
        <v>342</v>
      </c>
      <c r="L84">
        <v>8600</v>
      </c>
      <c r="M84">
        <v>-20</v>
      </c>
      <c r="N84">
        <v>35</v>
      </c>
      <c r="O84">
        <v>4.5</v>
      </c>
      <c r="P84" s="18">
        <f t="shared" si="3"/>
        <v>50.425818018825638</v>
      </c>
      <c r="Q84" s="18"/>
      <c r="R84" s="19"/>
      <c r="T84">
        <v>66.7</v>
      </c>
      <c r="Y84">
        <v>80000</v>
      </c>
      <c r="AA84">
        <v>5</v>
      </c>
      <c r="AB84">
        <v>35</v>
      </c>
      <c r="AC84">
        <v>72</v>
      </c>
      <c r="AD84">
        <v>800</v>
      </c>
      <c r="AE84" t="s">
        <v>342</v>
      </c>
    </row>
    <row r="85" spans="1:33" x14ac:dyDescent="0.2">
      <c r="A85" t="s">
        <v>349</v>
      </c>
      <c r="B85" t="s">
        <v>443</v>
      </c>
      <c r="C85" t="s">
        <v>264</v>
      </c>
      <c r="F85">
        <v>4000</v>
      </c>
      <c r="H85" t="s">
        <v>341</v>
      </c>
      <c r="I85" s="17"/>
      <c r="O85">
        <v>4.5</v>
      </c>
      <c r="P85" s="18">
        <f t="shared" si="3"/>
        <v>50.425818018825638</v>
      </c>
      <c r="Q85" s="18"/>
      <c r="R85" s="19"/>
      <c r="T85">
        <v>66.7</v>
      </c>
      <c r="AB85">
        <v>30</v>
      </c>
      <c r="AC85">
        <v>72</v>
      </c>
      <c r="AD85">
        <v>800</v>
      </c>
    </row>
    <row r="86" spans="1:33" x14ac:dyDescent="0.2">
      <c r="A86" t="s">
        <v>431</v>
      </c>
      <c r="B86" t="s">
        <v>444</v>
      </c>
      <c r="C86" t="s">
        <v>340</v>
      </c>
      <c r="D86">
        <v>500</v>
      </c>
      <c r="E86">
        <v>5000</v>
      </c>
      <c r="F86">
        <v>5000</v>
      </c>
      <c r="G86">
        <v>400</v>
      </c>
      <c r="H86" t="s">
        <v>348</v>
      </c>
      <c r="I86" s="17">
        <v>0.08</v>
      </c>
      <c r="J86">
        <v>1</v>
      </c>
      <c r="K86" t="s">
        <v>342</v>
      </c>
      <c r="L86">
        <v>8600</v>
      </c>
      <c r="M86">
        <v>-20</v>
      </c>
      <c r="N86">
        <v>35</v>
      </c>
      <c r="O86">
        <v>4.5</v>
      </c>
      <c r="P86" s="18">
        <f t="shared" si="3"/>
        <v>50.425818018825638</v>
      </c>
      <c r="Q86" s="18"/>
      <c r="R86" s="19"/>
      <c r="T86">
        <v>66.7</v>
      </c>
      <c r="Y86">
        <v>80000</v>
      </c>
      <c r="AA86">
        <v>5</v>
      </c>
      <c r="AB86">
        <v>35</v>
      </c>
      <c r="AC86">
        <v>90</v>
      </c>
      <c r="AD86">
        <v>1000</v>
      </c>
      <c r="AE86" t="s">
        <v>342</v>
      </c>
    </row>
    <row r="87" spans="1:33" x14ac:dyDescent="0.2">
      <c r="A87" t="s">
        <v>417</v>
      </c>
      <c r="B87" t="s">
        <v>445</v>
      </c>
      <c r="C87" t="s">
        <v>340</v>
      </c>
      <c r="D87">
        <v>250</v>
      </c>
      <c r="E87">
        <v>5000</v>
      </c>
      <c r="F87">
        <v>5000</v>
      </c>
      <c r="G87">
        <v>400</v>
      </c>
      <c r="H87" t="s">
        <v>356</v>
      </c>
      <c r="I87" s="17">
        <v>1.7999999999999999E-2</v>
      </c>
      <c r="J87">
        <v>30</v>
      </c>
      <c r="K87" t="s">
        <v>342</v>
      </c>
      <c r="L87">
        <v>8322</v>
      </c>
      <c r="M87">
        <v>-20</v>
      </c>
      <c r="N87">
        <v>40</v>
      </c>
      <c r="O87">
        <v>4.4000000000000004</v>
      </c>
      <c r="P87" s="18">
        <f t="shared" si="3"/>
        <v>49.305244285073961</v>
      </c>
      <c r="Q87" s="18"/>
      <c r="R87" s="19"/>
      <c r="S87">
        <v>60</v>
      </c>
      <c r="X87">
        <v>0.1</v>
      </c>
      <c r="AA87">
        <v>3.5</v>
      </c>
      <c r="AC87">
        <v>90</v>
      </c>
      <c r="AD87">
        <v>1</v>
      </c>
      <c r="AE87" t="s">
        <v>343</v>
      </c>
      <c r="AF87">
        <v>5</v>
      </c>
      <c r="AG87">
        <v>30</v>
      </c>
    </row>
    <row r="88" spans="1:33" x14ac:dyDescent="0.2">
      <c r="A88" t="s">
        <v>414</v>
      </c>
      <c r="B88" t="s">
        <v>446</v>
      </c>
      <c r="C88" t="s">
        <v>340</v>
      </c>
      <c r="F88">
        <v>5000</v>
      </c>
      <c r="H88" t="s">
        <v>348</v>
      </c>
      <c r="I88" s="17">
        <v>2.4E-2</v>
      </c>
      <c r="J88">
        <v>30</v>
      </c>
      <c r="M88">
        <v>-20</v>
      </c>
      <c r="N88">
        <v>40</v>
      </c>
      <c r="R88" s="19"/>
      <c r="AA88">
        <v>5</v>
      </c>
      <c r="AB88">
        <v>40</v>
      </c>
      <c r="AC88">
        <v>90</v>
      </c>
      <c r="AD88">
        <v>1000</v>
      </c>
    </row>
    <row r="89" spans="1:33" x14ac:dyDescent="0.2">
      <c r="A89" t="s">
        <v>382</v>
      </c>
      <c r="B89" t="s">
        <v>447</v>
      </c>
      <c r="C89" t="s">
        <v>340</v>
      </c>
      <c r="D89">
        <v>215</v>
      </c>
      <c r="E89">
        <v>4300</v>
      </c>
      <c r="F89">
        <v>5375</v>
      </c>
      <c r="H89" t="s">
        <v>348</v>
      </c>
      <c r="I89" s="17"/>
      <c r="K89" t="s">
        <v>342</v>
      </c>
      <c r="M89">
        <v>5</v>
      </c>
      <c r="N89">
        <v>40</v>
      </c>
      <c r="O89">
        <v>4.3</v>
      </c>
      <c r="P89" s="18">
        <f>((1000*O89)/0.08924)/1000</f>
        <v>48.184670551322277</v>
      </c>
      <c r="Q89" s="18"/>
      <c r="R89" s="19"/>
      <c r="T89">
        <v>69.8</v>
      </c>
      <c r="AA89">
        <v>4</v>
      </c>
      <c r="AB89">
        <v>30</v>
      </c>
      <c r="AC89">
        <v>90</v>
      </c>
      <c r="AD89">
        <v>1000</v>
      </c>
      <c r="AE89" t="s">
        <v>343</v>
      </c>
    </row>
    <row r="90" spans="1:33" x14ac:dyDescent="0.2">
      <c r="A90" t="s">
        <v>448</v>
      </c>
      <c r="B90" t="s">
        <v>449</v>
      </c>
      <c r="C90" t="s">
        <v>267</v>
      </c>
      <c r="F90">
        <v>10000</v>
      </c>
      <c r="G90">
        <v>800</v>
      </c>
      <c r="H90" t="s">
        <v>341</v>
      </c>
      <c r="I90" s="17">
        <v>0</v>
      </c>
      <c r="M90">
        <v>-20</v>
      </c>
      <c r="N90">
        <v>45</v>
      </c>
      <c r="P90">
        <v>38.700000000000003</v>
      </c>
      <c r="Q90">
        <f>4.7*3.6</f>
        <v>16.920000000000002</v>
      </c>
      <c r="R90" s="19"/>
      <c r="T90" s="20">
        <f>(120/(P90*3.6))*100</f>
        <v>86.132644272179135</v>
      </c>
      <c r="Y90">
        <f>8760*5</f>
        <v>43800</v>
      </c>
      <c r="AB90">
        <v>1.004</v>
      </c>
      <c r="AC90">
        <v>259</v>
      </c>
    </row>
    <row r="91" spans="1:33" x14ac:dyDescent="0.2">
      <c r="A91" t="s">
        <v>448</v>
      </c>
      <c r="B91" t="s">
        <v>450</v>
      </c>
      <c r="C91" t="s">
        <v>266</v>
      </c>
      <c r="F91">
        <v>10000</v>
      </c>
      <c r="G91">
        <v>800</v>
      </c>
      <c r="H91" t="s">
        <v>341</v>
      </c>
      <c r="I91" s="17">
        <v>0</v>
      </c>
      <c r="M91">
        <v>-20</v>
      </c>
      <c r="N91">
        <v>45</v>
      </c>
      <c r="P91">
        <v>48.8</v>
      </c>
      <c r="R91" s="19"/>
      <c r="T91" s="20">
        <f>(120/(P91*3.6))*100</f>
        <v>68.30601092896174</v>
      </c>
      <c r="AB91">
        <v>1.004</v>
      </c>
      <c r="AC91">
        <v>259</v>
      </c>
    </row>
    <row r="92" spans="1:33" x14ac:dyDescent="0.2">
      <c r="A92" t="s">
        <v>417</v>
      </c>
      <c r="B92" t="s">
        <v>451</v>
      </c>
      <c r="C92" t="s">
        <v>340</v>
      </c>
      <c r="D92">
        <v>500</v>
      </c>
      <c r="E92">
        <v>10000</v>
      </c>
      <c r="F92">
        <v>10000</v>
      </c>
      <c r="G92">
        <v>400</v>
      </c>
      <c r="H92" t="s">
        <v>356</v>
      </c>
      <c r="I92" s="17">
        <v>1.7999999999999999E-2</v>
      </c>
      <c r="J92">
        <v>30</v>
      </c>
      <c r="K92" t="s">
        <v>342</v>
      </c>
      <c r="L92">
        <v>8322</v>
      </c>
      <c r="M92">
        <v>-20</v>
      </c>
      <c r="N92">
        <v>40</v>
      </c>
      <c r="O92">
        <v>4.8</v>
      </c>
      <c r="P92" s="18">
        <f>((1000*O92)/0.08924)/1000</f>
        <v>53.787539220080681</v>
      </c>
      <c r="Q92" s="18"/>
      <c r="R92" s="19"/>
      <c r="S92">
        <v>60</v>
      </c>
      <c r="X92">
        <v>0.1</v>
      </c>
      <c r="AA92">
        <v>3.5</v>
      </c>
      <c r="AC92">
        <v>180</v>
      </c>
      <c r="AD92">
        <v>2</v>
      </c>
      <c r="AE92" t="s">
        <v>343</v>
      </c>
      <c r="AF92">
        <v>5</v>
      </c>
      <c r="AG92">
        <v>30</v>
      </c>
    </row>
    <row r="93" spans="1:33" x14ac:dyDescent="0.2">
      <c r="A93" t="s">
        <v>403</v>
      </c>
      <c r="B93" t="s">
        <v>452</v>
      </c>
      <c r="C93" t="s">
        <v>340</v>
      </c>
      <c r="F93">
        <v>10070</v>
      </c>
      <c r="G93">
        <v>11000</v>
      </c>
      <c r="H93" t="s">
        <v>348</v>
      </c>
      <c r="I93" s="17"/>
      <c r="K93" t="s">
        <v>343</v>
      </c>
      <c r="R93" s="19"/>
      <c r="AA93">
        <v>5</v>
      </c>
      <c r="AB93">
        <v>20</v>
      </c>
      <c r="AC93">
        <v>168.75</v>
      </c>
      <c r="AD93">
        <v>1875</v>
      </c>
      <c r="AE93" t="s">
        <v>343</v>
      </c>
    </row>
    <row r="94" spans="1:33" x14ac:dyDescent="0.2">
      <c r="A94" t="s">
        <v>453</v>
      </c>
      <c r="B94" t="s">
        <v>454</v>
      </c>
      <c r="C94" t="s">
        <v>264</v>
      </c>
      <c r="D94">
        <v>4192</v>
      </c>
      <c r="F94">
        <v>10481</v>
      </c>
      <c r="H94" t="s">
        <v>348</v>
      </c>
      <c r="I94" s="17">
        <v>4.2934834462360461E-2</v>
      </c>
      <c r="M94">
        <v>5</v>
      </c>
      <c r="N94">
        <v>40</v>
      </c>
      <c r="O94">
        <v>4.7</v>
      </c>
      <c r="P94" s="18">
        <f>((1000*O94)/0.08924)/1000</f>
        <v>52.666965486328998</v>
      </c>
      <c r="Q94" s="18"/>
      <c r="R94" s="19"/>
      <c r="T94">
        <v>63.8</v>
      </c>
      <c r="W94">
        <v>85</v>
      </c>
      <c r="Y94">
        <v>90000</v>
      </c>
      <c r="AA94">
        <v>2.6</v>
      </c>
      <c r="AB94">
        <v>30</v>
      </c>
      <c r="AC94">
        <v>200.7</v>
      </c>
      <c r="AD94">
        <v>2230</v>
      </c>
    </row>
    <row r="95" spans="1:33" x14ac:dyDescent="0.2">
      <c r="A95" t="s">
        <v>417</v>
      </c>
      <c r="B95" t="s">
        <v>455</v>
      </c>
      <c r="C95" t="s">
        <v>340</v>
      </c>
      <c r="D95">
        <v>750</v>
      </c>
      <c r="E95">
        <v>15000</v>
      </c>
      <c r="F95">
        <v>15000</v>
      </c>
      <c r="G95">
        <v>400</v>
      </c>
      <c r="H95" t="s">
        <v>356</v>
      </c>
      <c r="I95" s="17">
        <v>1.7999999999999999E-2</v>
      </c>
      <c r="J95">
        <v>30</v>
      </c>
      <c r="K95" t="s">
        <v>342</v>
      </c>
      <c r="L95">
        <v>8322</v>
      </c>
      <c r="M95">
        <v>-20</v>
      </c>
      <c r="N95">
        <v>40</v>
      </c>
      <c r="O95">
        <v>4.8</v>
      </c>
      <c r="P95" s="18">
        <f>((1000*O95)/0.08924)/1000</f>
        <v>53.787539220080681</v>
      </c>
      <c r="Q95" s="18"/>
      <c r="R95" s="19"/>
      <c r="S95">
        <v>60</v>
      </c>
      <c r="X95">
        <v>0.1</v>
      </c>
      <c r="AA95">
        <v>3.5</v>
      </c>
      <c r="AC95">
        <v>270</v>
      </c>
      <c r="AD95">
        <v>3</v>
      </c>
      <c r="AE95" t="s">
        <v>343</v>
      </c>
      <c r="AF95">
        <v>5</v>
      </c>
      <c r="AG95">
        <v>30</v>
      </c>
    </row>
    <row r="96" spans="1:33" x14ac:dyDescent="0.2">
      <c r="A96" t="s">
        <v>456</v>
      </c>
      <c r="B96" t="s">
        <v>457</v>
      </c>
      <c r="C96" t="s">
        <v>264</v>
      </c>
      <c r="D96">
        <v>1800</v>
      </c>
      <c r="F96">
        <v>18000</v>
      </c>
      <c r="H96" t="s">
        <v>341</v>
      </c>
      <c r="I96" s="17">
        <v>0</v>
      </c>
      <c r="O96">
        <v>4.5</v>
      </c>
      <c r="P96" s="18">
        <f>((1000*O96)/0.08924)/1000</f>
        <v>50.425818018825638</v>
      </c>
      <c r="Q96" s="18"/>
      <c r="R96" s="19"/>
      <c r="T96">
        <v>66.7</v>
      </c>
      <c r="W96">
        <v>90</v>
      </c>
      <c r="AA96">
        <v>3</v>
      </c>
      <c r="AB96">
        <v>0</v>
      </c>
      <c r="AC96">
        <v>360</v>
      </c>
      <c r="AD96">
        <v>4000</v>
      </c>
      <c r="AE96" t="s">
        <v>343</v>
      </c>
    </row>
    <row r="97" spans="1:33" x14ac:dyDescent="0.2">
      <c r="A97" t="s">
        <v>417</v>
      </c>
      <c r="B97" t="s">
        <v>458</v>
      </c>
      <c r="C97" t="s">
        <v>340</v>
      </c>
      <c r="D97">
        <v>1000</v>
      </c>
      <c r="E97">
        <v>20000</v>
      </c>
      <c r="F97">
        <v>20000</v>
      </c>
      <c r="G97">
        <v>400</v>
      </c>
      <c r="H97" t="s">
        <v>356</v>
      </c>
      <c r="I97" s="17">
        <v>1.7999999999999999E-2</v>
      </c>
      <c r="J97">
        <v>30</v>
      </c>
      <c r="K97" t="s">
        <v>342</v>
      </c>
      <c r="L97">
        <v>8322</v>
      </c>
      <c r="M97">
        <v>-20</v>
      </c>
      <c r="N97">
        <v>40</v>
      </c>
      <c r="O97">
        <v>4.8</v>
      </c>
      <c r="P97" s="18">
        <f>((1000*O97)/0.08924)/1000</f>
        <v>53.787539220080681</v>
      </c>
      <c r="Q97" s="18"/>
      <c r="R97" s="19"/>
      <c r="S97">
        <v>60</v>
      </c>
      <c r="X97">
        <v>0.1</v>
      </c>
      <c r="AA97">
        <v>3.5</v>
      </c>
      <c r="AC97">
        <v>360</v>
      </c>
      <c r="AD97">
        <v>4</v>
      </c>
      <c r="AE97" t="s">
        <v>343</v>
      </c>
      <c r="AF97">
        <v>5</v>
      </c>
      <c r="AG97">
        <v>30</v>
      </c>
    </row>
    <row r="98" spans="1:33" x14ac:dyDescent="0.2">
      <c r="A98" t="s">
        <v>417</v>
      </c>
      <c r="B98" t="s">
        <v>459</v>
      </c>
      <c r="C98" t="s">
        <v>340</v>
      </c>
      <c r="G98">
        <v>400</v>
      </c>
      <c r="H98" t="s">
        <v>356</v>
      </c>
      <c r="I98" s="17"/>
      <c r="J98">
        <v>30</v>
      </c>
      <c r="K98" t="s">
        <v>342</v>
      </c>
      <c r="L98">
        <v>8322</v>
      </c>
      <c r="M98">
        <v>-20</v>
      </c>
      <c r="N98">
        <v>40</v>
      </c>
      <c r="R98" s="19"/>
      <c r="S98">
        <v>60</v>
      </c>
      <c r="X98">
        <v>0.1</v>
      </c>
      <c r="AA98">
        <v>3.5</v>
      </c>
      <c r="AE98" t="s">
        <v>343</v>
      </c>
      <c r="AF98">
        <v>5</v>
      </c>
      <c r="AG98">
        <v>30</v>
      </c>
    </row>
    <row r="99" spans="1:33" x14ac:dyDescent="0.2">
      <c r="A99" t="s">
        <v>414</v>
      </c>
      <c r="B99" t="s">
        <v>460</v>
      </c>
      <c r="C99" t="s">
        <v>340</v>
      </c>
      <c r="G99">
        <v>64</v>
      </c>
      <c r="I99" s="17"/>
      <c r="R99" s="19"/>
      <c r="V99">
        <v>5</v>
      </c>
      <c r="W99">
        <v>70</v>
      </c>
      <c r="Y99">
        <v>80000</v>
      </c>
      <c r="AC99">
        <v>4.5</v>
      </c>
      <c r="AD99">
        <v>50</v>
      </c>
    </row>
    <row r="100" spans="1:33" x14ac:dyDescent="0.2">
      <c r="A100" t="s">
        <v>414</v>
      </c>
      <c r="B100" t="s">
        <v>461</v>
      </c>
      <c r="C100" t="s">
        <v>340</v>
      </c>
      <c r="G100">
        <v>260</v>
      </c>
      <c r="I100" s="17"/>
      <c r="R100" s="19"/>
      <c r="V100">
        <v>5</v>
      </c>
      <c r="W100">
        <v>70</v>
      </c>
      <c r="Y100">
        <v>80000</v>
      </c>
      <c r="AC100">
        <v>18</v>
      </c>
      <c r="AD100">
        <v>200</v>
      </c>
    </row>
    <row r="101" spans="1:33" x14ac:dyDescent="0.2">
      <c r="A101" t="s">
        <v>414</v>
      </c>
      <c r="B101" t="s">
        <v>462</v>
      </c>
      <c r="C101" t="s">
        <v>340</v>
      </c>
      <c r="G101">
        <v>54</v>
      </c>
      <c r="I101" s="17"/>
      <c r="M101">
        <v>5</v>
      </c>
      <c r="N101">
        <v>70</v>
      </c>
      <c r="R101" s="19"/>
      <c r="Y101">
        <v>80000</v>
      </c>
      <c r="AC101">
        <v>0.9</v>
      </c>
      <c r="AD101">
        <v>10</v>
      </c>
    </row>
    <row r="102" spans="1:33" x14ac:dyDescent="0.2">
      <c r="A102" t="s">
        <v>414</v>
      </c>
      <c r="B102" t="s">
        <v>463</v>
      </c>
      <c r="C102" t="s">
        <v>340</v>
      </c>
      <c r="G102">
        <v>163</v>
      </c>
      <c r="I102" s="17"/>
      <c r="M102">
        <v>5</v>
      </c>
      <c r="N102">
        <v>70</v>
      </c>
      <c r="R102" s="19"/>
      <c r="Y102">
        <v>80000</v>
      </c>
      <c r="AC102">
        <v>2.7</v>
      </c>
      <c r="AD102">
        <v>30</v>
      </c>
    </row>
    <row r="103" spans="1:33" x14ac:dyDescent="0.2">
      <c r="A103" t="s">
        <v>464</v>
      </c>
      <c r="B103" t="s">
        <v>465</v>
      </c>
      <c r="C103" t="s">
        <v>340</v>
      </c>
      <c r="I103" s="17"/>
      <c r="J103">
        <v>10</v>
      </c>
      <c r="R103" s="19"/>
      <c r="AA103">
        <v>5</v>
      </c>
      <c r="AC103">
        <v>100</v>
      </c>
      <c r="AD103">
        <v>1111</v>
      </c>
    </row>
    <row r="104" spans="1:33" x14ac:dyDescent="0.2">
      <c r="A104" t="s">
        <v>464</v>
      </c>
      <c r="B104" t="s">
        <v>466</v>
      </c>
      <c r="C104" t="s">
        <v>340</v>
      </c>
      <c r="I104" s="17"/>
      <c r="J104">
        <v>10</v>
      </c>
      <c r="R104" s="19"/>
      <c r="AA104">
        <v>5</v>
      </c>
      <c r="AC104">
        <v>2000</v>
      </c>
      <c r="AD104">
        <v>22222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lci</vt:lpstr>
      <vt:lpstr>Final specifications</vt:lpstr>
      <vt:lpstr>Manufacturers' data</vt:lpstr>
      <vt:lpstr>lifeprod_aec</vt:lpstr>
      <vt:lpstr>lifeprod_pem</vt:lpstr>
      <vt:lpstr>lifeprod_soec</vt:lpstr>
      <vt:lpstr>lifetime_aec</vt:lpstr>
      <vt:lpstr>lifetime_pem</vt:lpstr>
      <vt:lpstr>lifetime_soec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Romain Sacchi</cp:lastModifiedBy>
  <dcterms:created xsi:type="dcterms:W3CDTF">2020-12-17T11:52:00Z</dcterms:created>
  <dcterms:modified xsi:type="dcterms:W3CDTF">2026-07-17T14:51:59Z</dcterms:modified>
</cp:coreProperties>
</file>